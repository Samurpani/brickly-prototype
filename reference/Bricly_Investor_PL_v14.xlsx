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icing Model" sheetId="2" state="visible" r:id="rId4"/>
    <sheet name="Unit Economics" sheetId="3" state="visible" r:id="rId5"/>
    <sheet name="P&amp;L Monthly" sheetId="4" state="visible" r:id="rId6"/>
    <sheet name="Annual Summary" sheetId="5" state="visible" r:id="rId7"/>
    <sheet name="Investment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<sst xmlns="http://schemas.openxmlformats.org/spreadsheetml/2006/main" count="265" uniqueCount="245">
  <si>
    <t xml:space="preserve">BRICLY — MODEL ASSUMPTIONS (high-ticket pricing)</t>
  </si>
  <si>
    <t xml:space="preserve">Blue cells are inputs. Change these to flex the model.</t>
  </si>
  <si>
    <t xml:space="preserve">PRICING (per customer, annual)</t>
  </si>
  <si>
    <t xml:space="preserve">Annual platform license</t>
  </si>
  <si>
    <t xml:space="preserve">Includes CRM + Studio + onboarding + 1 development</t>
  </si>
  <si>
    <t xml:space="preserve">Per additional development</t>
  </si>
  <si>
    <t xml:space="preserve">Each development beyond the first</t>
  </si>
  <si>
    <t xml:space="preserve">Per unit (flat, decoupled from sale price)</t>
  </si>
  <si>
    <t xml:space="preserve">Full sales pipeline + buyer packs per unit</t>
  </si>
  <si>
    <t xml:space="preserve">Minimum annual commitment</t>
  </si>
  <si>
    <t xml:space="preserve">Screens sub-scale buyers</t>
  </si>
  <si>
    <t xml:space="preserve">SEGMENT MIX &amp; ACV</t>
  </si>
  <si>
    <t xml:space="preserve">Small developer — share</t>
  </si>
  <si>
    <t xml:space="preserve">~6 small developments/yr, ~60 units</t>
  </si>
  <si>
    <t xml:space="preserve">Small developer — ACV</t>
  </si>
  <si>
    <t xml:space="preserve">10k + 5x1.5k + 60x200</t>
  </si>
  <si>
    <t xml:space="preserve">Mid developer — share</t>
  </si>
  <si>
    <t xml:space="preserve">~6 medium developments/yr, ~210 units</t>
  </si>
  <si>
    <t xml:space="preserve">Mid developer — ACV</t>
  </si>
  <si>
    <t xml:space="preserve">10k + 5x1.5k + 210x200</t>
  </si>
  <si>
    <t xml:space="preserve">Large developer — share</t>
  </si>
  <si>
    <t xml:space="preserve">~2 large developments/yr, ~250 units</t>
  </si>
  <si>
    <t xml:space="preserve">Large developer — ACV</t>
  </si>
  <si>
    <t xml:space="preserve">10k + 1x1.5k + 250x200</t>
  </si>
  <si>
    <t xml:space="preserve">BLENDED ACV</t>
  </si>
  <si>
    <t xml:space="preserve">Weighted average ACV</t>
  </si>
  <si>
    <t xml:space="preserve">COGS (per customer, annual)</t>
  </si>
  <si>
    <t xml:space="preserve">Generation (renders, brand, microsite, video)</t>
  </si>
  <si>
    <t xml:space="preserve">Episodic, blended across segments</t>
  </si>
  <si>
    <t xml:space="preserve">AI layer (CRM chat + consulting via Claude)</t>
  </si>
  <si>
    <t xml:space="preserve">Recurring, scales with active users</t>
  </si>
  <si>
    <t xml:space="preserve">Infrastructure (allocated)</t>
  </si>
  <si>
    <t xml:space="preserve">Neon, Vercel, Trigger.dev, storage, etc.</t>
  </si>
  <si>
    <t xml:space="preserve">COGS ex-payments (per customer/yr)</t>
  </si>
  <si>
    <t xml:space="preserve">Sum of the three above</t>
  </si>
  <si>
    <t xml:space="preserve">Payment processing (% of revenue)</t>
  </si>
  <si>
    <t xml:space="preserve">PSP fees</t>
  </si>
  <si>
    <t xml:space="preserve">BLENDED GROSS MARGIN</t>
  </si>
  <si>
    <t xml:space="preserve">1 - (COGS ex-pay / ACV + payment rate)</t>
  </si>
  <si>
    <t xml:space="preserve">GROWTH &amp; EFFICIENCY</t>
  </si>
  <si>
    <t xml:space="preserve">Monthly gross revenue per customer</t>
  </si>
  <si>
    <t xml:space="preserve">Blended ACV / 12</t>
  </si>
  <si>
    <t xml:space="preserve">CAC (blended, demo-gated enterprise)</t>
  </si>
  <si>
    <t xml:space="preserve">Demand gen + partial sales allocation</t>
  </si>
  <si>
    <t xml:space="preserve">Monthly gross profit per customer</t>
  </si>
  <si>
    <t xml:space="preserve">For payback / LTV</t>
  </si>
  <si>
    <t xml:space="preserve">Payback period (months)</t>
  </si>
  <si>
    <t xml:space="preserve">CAC / monthly gross profit</t>
  </si>
  <si>
    <t xml:space="preserve">Monthly churn</t>
  </si>
  <si>
    <t xml:space="preserve">Enterprise, sticky; conservative</t>
  </si>
  <si>
    <t xml:space="preserve">Avg client lifetime (months)</t>
  </si>
  <si>
    <t xml:space="preserve">1 / monthly churn</t>
  </si>
  <si>
    <t xml:space="preserve">LTV</t>
  </si>
  <si>
    <t xml:space="preserve">Monthly gross profit x lifetime</t>
  </si>
  <si>
    <t xml:space="preserve">LTV : CAC</t>
  </si>
  <si>
    <t xml:space="preserve">&gt;10x is world-class</t>
  </si>
  <si>
    <t xml:space="preserve">BRICLY — PRICING MODEL (high-ticket, demo-gated, annual)</t>
  </si>
  <si>
    <t xml:space="preserve">Supersedes the €99 base + €5/unit/month model. No public pricing. Unlimited users.</t>
  </si>
  <si>
    <t xml:space="preserve">THE THREE LEVERS</t>
  </si>
  <si>
    <t xml:space="preserve">CRM + Studio + onboarding + first development</t>
  </si>
  <si>
    <t xml:space="preserve">Constraint model, brand, microsite, base allowance</t>
  </si>
  <si>
    <t xml:space="preserve">Per unit (flat)</t>
  </si>
  <si>
    <t xml:space="preserve">Sales pipeline + buyer packs; not priced on renders</t>
  </si>
  <si>
    <t xml:space="preserve">Floor that screens sub-scale buyers</t>
  </si>
  <si>
    <t xml:space="preserve">ILLUSTRATIVE ACV BY CUSTOMER PROFILE</t>
  </si>
  <si>
    <t xml:space="preserve">Profile</t>
  </si>
  <si>
    <t xml:space="preserve">Developments/yr</t>
  </si>
  <si>
    <t xml:space="preserve">Units/yr</t>
  </si>
  <si>
    <t xml:space="preserve">ACV</t>
  </si>
  <si>
    <t xml:space="preserve">Notes</t>
  </si>
  <si>
    <t xml:space="preserve">Small developer</t>
  </si>
  <si>
    <t xml:space="preserve">6 small</t>
  </si>
  <si>
    <t xml:space="preserve">~60</t>
  </si>
  <si>
    <t xml:space="preserve">Mid developer</t>
  </si>
  <si>
    <t xml:space="preserve">6 medium</t>
  </si>
  <si>
    <t xml:space="preserve">~210</t>
  </si>
  <si>
    <t xml:space="preserve">Large developer</t>
  </si>
  <si>
    <t xml:space="preserve">2 large</t>
  </si>
  <si>
    <t xml:space="preserve">~250</t>
  </si>
  <si>
    <t xml:space="preserve">Blended ACV (mix-weighted)</t>
  </si>
  <si>
    <t xml:space="preserve">INCLUDED GENERATION ALLOWANCE PER DEVELOPMENT</t>
  </si>
  <si>
    <t xml:space="preserve">Standard (up to ~50 units)</t>
  </si>
  <si>
    <t xml:space="preserve">6 layouts of renders, all standard buyer packs, 1 microsite, 1 walkthrough, 10 ad creatives</t>
  </si>
  <si>
    <t xml:space="preserve">Large (50+ units)</t>
  </si>
  <si>
    <t xml:space="preserve">As standard + expanded external close-ups + up to 3 walkthroughs</t>
  </si>
  <si>
    <t xml:space="preserve">Top-ups</t>
  </si>
  <si>
    <t xml:space="preserve">Additional layouts + heavy custom buyer-render intensity. Sold in output blocks, auto-replenish.</t>
  </si>
  <si>
    <t xml:space="preserve">BRICLY — UNIT ECONOMICS &amp; PAYBACK</t>
  </si>
  <si>
    <t xml:space="preserve">PER-CUSTOMER ECONOMICS BY SEGMENT</t>
  </si>
  <si>
    <t xml:space="preserve">Metric</t>
  </si>
  <si>
    <t xml:space="preserve">Small</t>
  </si>
  <si>
    <t xml:space="preserve">Mid</t>
  </si>
  <si>
    <t xml:space="preserve">Large</t>
  </si>
  <si>
    <t xml:space="preserve">Blended</t>
  </si>
  <si>
    <t xml:space="preserve">Annual contract value</t>
  </si>
  <si>
    <t xml:space="preserve">Generation COGS</t>
  </si>
  <si>
    <t xml:space="preserve">AI layer COGS (chat + consulting)</t>
  </si>
  <si>
    <t xml:space="preserve">Scales with active users</t>
  </si>
  <si>
    <t xml:space="preserve">Infrastructure</t>
  </si>
  <si>
    <t xml:space="preserve">Payment processing</t>
  </si>
  <si>
    <t xml:space="preserve">Total COGS</t>
  </si>
  <si>
    <t xml:space="preserve">Gross profit</t>
  </si>
  <si>
    <t xml:space="preserve">Gross margin</t>
  </si>
  <si>
    <t xml:space="preserve">BLENDED ACQUISITION &amp; LIFETIME</t>
  </si>
  <si>
    <t xml:space="preserve">Blended ACV</t>
  </si>
  <si>
    <t xml:space="preserve">Mix-weighted</t>
  </si>
  <si>
    <t xml:space="preserve">Blended gross margin</t>
  </si>
  <si>
    <t xml:space="preserve">After all COGS incl. AI layer</t>
  </si>
  <si>
    <t xml:space="preserve">Monthly gross profit / customer</t>
  </si>
  <si>
    <t xml:space="preserve">Drives payback</t>
  </si>
  <si>
    <t xml:space="preserve">CAC</t>
  </si>
  <si>
    <t xml:space="preserve">Demo-gated enterprise</t>
  </si>
  <si>
    <t xml:space="preserve">Payback period</t>
  </si>
  <si>
    <t xml:space="preserve">Months to recover CAC</t>
  </si>
  <si>
    <t xml:space="preserve">Avg client lifetime</t>
  </si>
  <si>
    <t xml:space="preserve">Months (1 / churn)</t>
  </si>
  <si>
    <t xml:space="preserve">Gross profit over lifetime</t>
  </si>
  <si>
    <t xml:space="preserve">World-class &gt;10x</t>
  </si>
  <si>
    <t xml:space="preserve">NOTE ON ARR COMPOSITION</t>
  </si>
  <si>
    <t xml:space="preserve">Hard recurring (platform licenses) is ~22% of revenue; per-development and per-unit are usage-based but recur as developers continuously launch. State the split with investors.</t>
  </si>
  <si>
    <t xml:space="preserve">BRICLY — MONTHLY P&amp;L  |  high-ticket model  |  €5M ARR target end of Year 2</t>
  </si>
  <si>
    <t xml:space="preserve">Line item</t>
  </si>
  <si>
    <t xml:space="preserve">Y1M01▸B</t>
  </si>
  <si>
    <t xml:space="preserve">Y1M02▸B</t>
  </si>
  <si>
    <t xml:space="preserve">Y1M03▸B</t>
  </si>
  <si>
    <t xml:space="preserve">Y1M04▸B</t>
  </si>
  <si>
    <t xml:space="preserve">Y1M05▸B</t>
  </si>
  <si>
    <t xml:space="preserve">Y1M06▸$</t>
  </si>
  <si>
    <t xml:space="preserve">Y1M07</t>
  </si>
  <si>
    <t xml:space="preserve">Y1M08</t>
  </si>
  <si>
    <t xml:space="preserve">Y1M09</t>
  </si>
  <si>
    <t xml:space="preserve">Y1M10</t>
  </si>
  <si>
    <t xml:space="preserve">Y1M11</t>
  </si>
  <si>
    <t xml:space="preserve">Y1M12</t>
  </si>
  <si>
    <t xml:space="preserve">Y2M01</t>
  </si>
  <si>
    <t xml:space="preserve">Y2M02</t>
  </si>
  <si>
    <t xml:space="preserve">Y2M03</t>
  </si>
  <si>
    <t xml:space="preserve">Y2M04</t>
  </si>
  <si>
    <t xml:space="preserve">Y2M05</t>
  </si>
  <si>
    <t xml:space="preserve">Y2M06</t>
  </si>
  <si>
    <t xml:space="preserve">Y2M07</t>
  </si>
  <si>
    <t xml:space="preserve">Y2M08</t>
  </si>
  <si>
    <t xml:space="preserve">Y2M09</t>
  </si>
  <si>
    <t xml:space="preserve">Y2M10</t>
  </si>
  <si>
    <t xml:space="preserve">Y2M11</t>
  </si>
  <si>
    <t xml:space="preserve">Y2M12</t>
  </si>
  <si>
    <t xml:space="preserve">Y3M01</t>
  </si>
  <si>
    <t xml:space="preserve">Y3M02</t>
  </si>
  <si>
    <t xml:space="preserve">Y3M03</t>
  </si>
  <si>
    <t xml:space="preserve">Y3M04</t>
  </si>
  <si>
    <t xml:space="preserve">Y3M05</t>
  </si>
  <si>
    <t xml:space="preserve">Y3M06</t>
  </si>
  <si>
    <t xml:space="preserve">Y3M07</t>
  </si>
  <si>
    <t xml:space="preserve">Y3M08</t>
  </si>
  <si>
    <t xml:space="preserve">Y3M09</t>
  </si>
  <si>
    <t xml:space="preserve">Y3M10</t>
  </si>
  <si>
    <t xml:space="preserve">Y3M11</t>
  </si>
  <si>
    <t xml:space="preserve">Y3M12</t>
  </si>
  <si>
    <t xml:space="preserve">REVENUE &amp; GROSS PROFIT  (▸B build phase · ▸$ first revenue M6)</t>
  </si>
  <si>
    <t xml:space="preserve">Gross Revenue</t>
  </si>
  <si>
    <t xml:space="preserve">COGS — Generation + AI layer + Infra</t>
  </si>
  <si>
    <t xml:space="preserve">COGS — Payment processing</t>
  </si>
  <si>
    <t xml:space="preserve">TOTAL COGS</t>
  </si>
  <si>
    <t xml:space="preserve">GROSS PROFIT</t>
  </si>
  <si>
    <t xml:space="preserve">PAYROLL  (15% employer overhead included; +3%/yr from Y2)</t>
  </si>
  <si>
    <t xml:space="preserve">Founder Salary (M8)</t>
  </si>
  <si>
    <t xml:space="preserve">Lead Developer — Senior AI Fullstack (M1)</t>
  </si>
  <si>
    <t xml:space="preserve">Developer 2 — Mid AI Fullstack (M2)</t>
  </si>
  <si>
    <t xml:space="preserve">Developer 3 — Mid AI Fullstack (M13)</t>
  </si>
  <si>
    <t xml:space="preserve">Developer 4 — Scale (M22)</t>
  </si>
  <si>
    <t xml:space="preserve">UX/UI Designer Phase 1 — M1-M6</t>
  </si>
  <si>
    <t xml:space="preserve">UX/UI Designer Phase 2 — M7+</t>
  </si>
  <si>
    <t xml:space="preserve">Content Creator (M1)</t>
  </si>
  <si>
    <t xml:space="preserve">Sales Executive 1 (M9)</t>
  </si>
  <si>
    <t xml:space="preserve">Sales Executive 2 — Scale (M22)</t>
  </si>
  <si>
    <t xml:space="preserve">Customer Success Manager (M13)</t>
  </si>
  <si>
    <t xml:space="preserve">Marketing Executive — Paid Ads (M17)</t>
  </si>
  <si>
    <t xml:space="preserve">TOTAL PAYROLL</t>
  </si>
  <si>
    <t xml:space="preserve">OPERATING COSTS</t>
  </si>
  <si>
    <t xml:space="preserve">Software stack (Neon, Vercel, Trigger.dev, etc.)</t>
  </si>
  <si>
    <t xml:space="preserve">Demand gen / paid acquisition (from M8)</t>
  </si>
  <si>
    <t xml:space="preserve">Office — Malta HQ</t>
  </si>
  <si>
    <t xml:space="preserve">Legal, accounting &amp; compliance</t>
  </si>
  <si>
    <t xml:space="preserve">Conferences &amp; industry events</t>
  </si>
  <si>
    <t xml:space="preserve">Misc &amp; contingency (1.5% of revenue)</t>
  </si>
  <si>
    <t xml:space="preserve">TOTAL OPEX</t>
  </si>
  <si>
    <t xml:space="preserve">SUMMARY</t>
  </si>
  <si>
    <t xml:space="preserve">TOTAL COSTS</t>
  </si>
  <si>
    <t xml:space="preserve">EBITDA</t>
  </si>
  <si>
    <t xml:space="preserve">EBITDA margin</t>
  </si>
  <si>
    <t xml:space="preserve">Cumulative cash position</t>
  </si>
  <si>
    <t xml:space="preserve">KPIs</t>
  </si>
  <si>
    <t xml:space="preserve">Active customers</t>
  </si>
  <si>
    <t xml:space="preserve">Net new customers</t>
  </si>
  <si>
    <t xml:space="preserve">ARR</t>
  </si>
  <si>
    <t xml:space="preserve">MRR</t>
  </si>
  <si>
    <t xml:space="preserve">BRICLY — ANNUAL P&amp;L SUMMARY (high-ticket model)</t>
  </si>
  <si>
    <t xml:space="preserve">Year 1</t>
  </si>
  <si>
    <t xml:space="preserve">Year 2</t>
  </si>
  <si>
    <t xml:space="preserve">Year 3</t>
  </si>
  <si>
    <t xml:space="preserve">3-Year Total</t>
  </si>
  <si>
    <t xml:space="preserve">Gross Profit</t>
  </si>
  <si>
    <t xml:space="preserve">Total Payroll</t>
  </si>
  <si>
    <t xml:space="preserve">Total Opex</t>
  </si>
  <si>
    <t xml:space="preserve">Total Costs</t>
  </si>
  <si>
    <t xml:space="preserve">YEAR-END POSITION</t>
  </si>
  <si>
    <t xml:space="preserve">Active customers (year-end)</t>
  </si>
  <si>
    <t xml:space="preserve">ARR (year-end)</t>
  </si>
  <si>
    <t xml:space="preserve">MRR (year-end)</t>
  </si>
  <si>
    <t xml:space="preserve">Cumulative cash (year-end)</t>
  </si>
  <si>
    <t xml:space="preserve">Note: Gross Profit = Net Revenue after all COGS (generation + AI layer + infra + payments).</t>
  </si>
  <si>
    <t xml:space="preserve">BRICLY — INVESTOR SUMMARY (high-ticket pricing)</t>
  </si>
  <si>
    <t xml:space="preserve">THE OPPORTUNITY</t>
  </si>
  <si>
    <t xml:space="preserve">Company</t>
  </si>
  <si>
    <t xml:space="preserve">Bricly Ltd — Malta (EU)</t>
  </si>
  <si>
    <t xml:space="preserve">Product</t>
  </si>
  <si>
    <t xml:space="preserve">AI marketing + sales platform for off-plan developers</t>
  </si>
  <si>
    <t xml:space="preserve">Pricing model</t>
  </si>
  <si>
    <t xml:space="preserve">High-ticket, demo-gated, annual</t>
  </si>
  <si>
    <t xml:space="preserve">Platform license + per-development + per-unit</t>
  </si>
  <si>
    <t xml:space="preserve">After generation + AI layer + infra + payments</t>
  </si>
  <si>
    <t xml:space="preserve">UNIT ECONOMICS</t>
  </si>
  <si>
    <t xml:space="preserve">CAC (blended)</t>
  </si>
  <si>
    <t xml:space="preserve">Demo-gated enterprise motion</t>
  </si>
  <si>
    <t xml:space="preserve">Months</t>
  </si>
  <si>
    <t xml:space="preserve">&gt;10x world-class</t>
  </si>
  <si>
    <t xml:space="preserve">FINANCIAL PROJECTIONS</t>
  </si>
  <si>
    <t xml:space="preserve">Year 1 Gross Revenue</t>
  </si>
  <si>
    <t xml:space="preserve">Year 2 Gross Revenue</t>
  </si>
  <si>
    <t xml:space="preserve">Year 3 Gross Revenue</t>
  </si>
  <si>
    <t xml:space="preserve">ARR — end of Year 2</t>
  </si>
  <si>
    <t xml:space="preserve">€5M ARR milestone</t>
  </si>
  <si>
    <t xml:space="preserve">ARR — end of Year 3</t>
  </si>
  <si>
    <t xml:space="preserve">Active customers — end Y3</t>
  </si>
  <si>
    <t xml:space="preserve">vs 985 on the old volume model</t>
  </si>
  <si>
    <t xml:space="preserve">Year 3 EBITDA</t>
  </si>
  <si>
    <t xml:space="preserve">Year 3 EBITDA margin</t>
  </si>
  <si>
    <t xml:space="preserve">THE SHIFT FROM THE OLD MODEL</t>
  </si>
  <si>
    <t xml:space="preserve">Old model: €99 base + €5/unit/mo, ~€15.4k blended ACV, 985 clients for ~€6.1M ARR.</t>
  </si>
  <si>
    <t xml:space="preserve">New model: ~€44.8k blended ACV, ~112 customers for €5M ARR. Same revenue, ~1/9th the customers.</t>
  </si>
  <si>
    <t xml:space="preserve">ARR composition: platform licenses are hard recurring (~22%); per-dev and per-unit recur with launch cadence.</t>
  </si>
  <si>
    <t xml:space="preserve">Worst cumulative cash position</t>
  </si>
  <si>
    <t xml:space="preserve">Trough at month 7 (build phase)</t>
  </si>
  <si>
    <t xml:space="preserve">Pre-seed raised (friends &amp; family)</t>
  </si>
  <si>
    <t xml:space="preserve">Covers the build-phase trough with buffer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</si>
</sst>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€#,##0;&quot;(€&quot;#,##0\);\-"/>
    <numFmt numFmtId="166" formatCode="0.0%"/>
    <numFmt numFmtId="167" formatCode="0.0"/>
    <numFmt numFmtId="168" formatCode="0"/>
    <numFmt numFmtId="169" formatCode="0\x"/>
    <numFmt numFmtId="170" formatCode="#,##0;\(#,##0\);\-"/>
    <numFmt numFmtId="171" formatCode="#,##0;\(#,##0\);\-"/>
    <numFmt numFmtId="172" formatCode="\€#,##0;&quot;(€&quot;#,##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1514"/>
        <bgColor rgb="FF000000"/>
      </patternFill>
    </fill>
    <fill>
      <patternFill patternType="solid">
        <fgColor rgb="FFFFE600"/>
        <bgColor rgb="FFFFFF0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6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5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10000</v>
      </c>
      <c r="C5" s="7" t="s">
        <v>4</v>
      </c>
    </row>
    <row r="6" customFormat="false" ht="15" hidden="false" customHeight="true" outlineLevel="0" collapsed="false">
      <c r="A6" s="5" t="s">
        <v>5</v>
      </c>
      <c r="B6" s="6" t="n">
        <v>1500</v>
      </c>
      <c r="C6" s="7" t="s">
        <v>6</v>
      </c>
    </row>
    <row r="7" customFormat="false" ht="15" hidden="false" customHeight="true" outlineLevel="0" collapsed="false">
      <c r="A7" s="5" t="s">
        <v>7</v>
      </c>
      <c r="B7" s="6" t="n">
        <v>200</v>
      </c>
      <c r="C7" s="7" t="s">
        <v>8</v>
      </c>
    </row>
    <row r="8" customFormat="false" ht="15" hidden="false" customHeight="true" outlineLevel="0" collapsed="false">
      <c r="A8" s="5" t="s">
        <v>9</v>
      </c>
      <c r="B8" s="6" t="n">
        <v>25000</v>
      </c>
      <c r="C8" s="7" t="s">
        <v>10</v>
      </c>
    </row>
    <row r="10" customFormat="false" ht="15" hidden="false" customHeight="true" outlineLevel="0" collapsed="false">
      <c r="A10" s="4" t="s">
        <v>11</v>
      </c>
      <c r="B10" s="4"/>
      <c r="C10" s="4"/>
    </row>
    <row r="11" customFormat="false" ht="15" hidden="false" customHeight="true" outlineLevel="0" collapsed="false">
      <c r="A11" s="5" t="s">
        <v>12</v>
      </c>
      <c r="B11" s="8" t="n">
        <v>0.5</v>
      </c>
      <c r="C11" s="7" t="s">
        <v>13</v>
      </c>
    </row>
    <row r="12" customFormat="false" ht="15" hidden="false" customHeight="true" outlineLevel="0" collapsed="false">
      <c r="A12" s="5" t="s">
        <v>14</v>
      </c>
      <c r="B12" s="6" t="n">
        <v>29500</v>
      </c>
      <c r="C12" s="7" t="s">
        <v>15</v>
      </c>
    </row>
    <row r="13" customFormat="false" ht="15" hidden="false" customHeight="true" outlineLevel="0" collapsed="false">
      <c r="A13" s="5" t="s">
        <v>16</v>
      </c>
      <c r="B13" s="8" t="n">
        <v>0.35</v>
      </c>
      <c r="C13" s="7" t="s">
        <v>17</v>
      </c>
    </row>
    <row r="14" customFormat="false" ht="15" hidden="false" customHeight="true" outlineLevel="0" collapsed="false">
      <c r="A14" s="5" t="s">
        <v>18</v>
      </c>
      <c r="B14" s="6" t="n">
        <v>59500</v>
      </c>
      <c r="C14" s="7" t="s">
        <v>19</v>
      </c>
    </row>
    <row r="15" customFormat="false" ht="15" hidden="false" customHeight="true" outlineLevel="0" collapsed="false">
      <c r="A15" s="5" t="s">
        <v>20</v>
      </c>
      <c r="B15" s="8" t="n">
        <v>0.15</v>
      </c>
      <c r="C15" s="7" t="s">
        <v>21</v>
      </c>
    </row>
    <row r="16" customFormat="false" ht="15" hidden="false" customHeight="true" outlineLevel="0" collapsed="false">
      <c r="A16" s="5" t="s">
        <v>22</v>
      </c>
      <c r="B16" s="6" t="n">
        <v>61500</v>
      </c>
      <c r="C16" s="7" t="s">
        <v>23</v>
      </c>
    </row>
    <row r="17" customFormat="false" ht="15" hidden="false" customHeight="true" outlineLevel="0" collapsed="false">
      <c r="A17" s="5" t="s">
        <v>24</v>
      </c>
      <c r="B17" s="9" t="n">
        <f aca="false">B11*B12+B13*B14+B15*B16</f>
        <v>44800</v>
      </c>
      <c r="C17" s="7" t="s">
        <v>25</v>
      </c>
    </row>
    <row r="19" customFormat="false" ht="15" hidden="false" customHeight="true" outlineLevel="0" collapsed="false">
      <c r="A19" s="4" t="s">
        <v>26</v>
      </c>
      <c r="B19" s="4"/>
      <c r="C19" s="4"/>
    </row>
    <row r="20" customFormat="false" ht="15" hidden="false" customHeight="true" outlineLevel="0" collapsed="false">
      <c r="A20" s="5" t="s">
        <v>27</v>
      </c>
      <c r="B20" s="6" t="n">
        <v>876</v>
      </c>
      <c r="C20" s="7" t="s">
        <v>28</v>
      </c>
    </row>
    <row r="21" customFormat="false" ht="15" hidden="false" customHeight="true" outlineLevel="0" collapsed="false">
      <c r="A21" s="5" t="s">
        <v>29</v>
      </c>
      <c r="B21" s="6" t="n">
        <v>3560</v>
      </c>
      <c r="C21" s="7" t="s">
        <v>30</v>
      </c>
    </row>
    <row r="22" customFormat="false" ht="15" hidden="false" customHeight="true" outlineLevel="0" collapsed="false">
      <c r="A22" s="5" t="s">
        <v>31</v>
      </c>
      <c r="B22" s="6" t="n">
        <v>1350</v>
      </c>
      <c r="C22" s="7" t="s">
        <v>32</v>
      </c>
    </row>
    <row r="23" customFormat="false" ht="15" hidden="false" customHeight="true" outlineLevel="0" collapsed="false">
      <c r="A23" s="5" t="s">
        <v>33</v>
      </c>
      <c r="B23" s="9" t="n">
        <f aca="false">B20+B21+B22</f>
        <v>5786</v>
      </c>
      <c r="C23" s="7" t="s">
        <v>34</v>
      </c>
    </row>
    <row r="24" customFormat="false" ht="15" hidden="false" customHeight="true" outlineLevel="0" collapsed="false">
      <c r="A24" s="5" t="s">
        <v>35</v>
      </c>
      <c r="B24" s="8" t="n">
        <v>0.025</v>
      </c>
      <c r="C24" s="7" t="s">
        <v>36</v>
      </c>
    </row>
    <row r="25" customFormat="false" ht="15" hidden="false" customHeight="true" outlineLevel="0" collapsed="false">
      <c r="A25" s="5" t="s">
        <v>37</v>
      </c>
      <c r="B25" s="10" t="n">
        <f aca="false">1-(B23/B17+B24)</f>
        <v>0.845848214285714</v>
      </c>
      <c r="C25" s="7" t="s">
        <v>38</v>
      </c>
    </row>
    <row r="27" customFormat="false" ht="15" hidden="false" customHeight="true" outlineLevel="0" collapsed="false">
      <c r="A27" s="4" t="s">
        <v>39</v>
      </c>
      <c r="B27" s="4"/>
      <c r="C27" s="4"/>
    </row>
    <row r="28" customFormat="false" ht="15" hidden="false" customHeight="true" outlineLevel="0" collapsed="false">
      <c r="A28" s="5" t="s">
        <v>40</v>
      </c>
      <c r="B28" s="9" t="n">
        <f aca="false">B17/12</f>
        <v>3733.33333333333</v>
      </c>
      <c r="C28" s="7" t="s">
        <v>41</v>
      </c>
    </row>
    <row r="29" customFormat="false" ht="15" hidden="false" customHeight="true" outlineLevel="0" collapsed="false">
      <c r="A29" s="5" t="s">
        <v>42</v>
      </c>
      <c r="B29" s="6" t="n">
        <v>6000</v>
      </c>
      <c r="C29" s="7" t="s">
        <v>43</v>
      </c>
    </row>
    <row r="30" customFormat="false" ht="15" hidden="false" customHeight="true" outlineLevel="0" collapsed="false">
      <c r="A30" s="5" t="s">
        <v>44</v>
      </c>
      <c r="B30" s="9" t="n">
        <f aca="false">B28*B25</f>
        <v>3157.83333333333</v>
      </c>
      <c r="C30" s="7" t="s">
        <v>45</v>
      </c>
    </row>
    <row r="31" customFormat="false" ht="15" hidden="false" customHeight="true" outlineLevel="0" collapsed="false">
      <c r="A31" s="5" t="s">
        <v>46</v>
      </c>
      <c r="B31" s="11" t="n">
        <f aca="false">B29/B30</f>
        <v>1.90003694516282</v>
      </c>
      <c r="C31" s="7" t="s">
        <v>47</v>
      </c>
    </row>
    <row r="32" customFormat="false" ht="15" hidden="false" customHeight="true" outlineLevel="0" collapsed="false">
      <c r="A32" s="5" t="s">
        <v>48</v>
      </c>
      <c r="B32" s="8" t="n">
        <v>0.015</v>
      </c>
      <c r="C32" s="7" t="s">
        <v>49</v>
      </c>
    </row>
    <row r="33" customFormat="false" ht="15" hidden="false" customHeight="true" outlineLevel="0" collapsed="false">
      <c r="A33" s="5" t="s">
        <v>50</v>
      </c>
      <c r="B33" s="12" t="n">
        <f aca="false">1/B32</f>
        <v>66.6666666666667</v>
      </c>
      <c r="C33" s="7" t="s">
        <v>51</v>
      </c>
    </row>
    <row r="34" customFormat="false" ht="15" hidden="false" customHeight="true" outlineLevel="0" collapsed="false">
      <c r="A34" s="5" t="s">
        <v>52</v>
      </c>
      <c r="B34" s="9" t="n">
        <f aca="false">B30*B33</f>
        <v>210522.222222222</v>
      </c>
      <c r="C34" s="7" t="s">
        <v>53</v>
      </c>
    </row>
    <row r="35" customFormat="false" ht="15" hidden="false" customHeight="true" outlineLevel="0" collapsed="false">
      <c r="A35" s="5" t="s">
        <v>54</v>
      </c>
      <c r="B35" s="13" t="n">
        <f aca="false">B34/B29</f>
        <v>35.087037037037</v>
      </c>
      <c r="C35" s="7" t="s">
        <v>55</v>
      </c>
    </row>
  </sheetData>
  <mergeCells count="5">
    <mergeCell ref="A1:C1"/>
    <mergeCell ref="A4:C4"/>
    <mergeCell ref="A10:C10"/>
    <mergeCell ref="A19:C19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40"/>
  </cols>
  <sheetData>
    <row r="1" customFormat="false" ht="15.75" hidden="false" customHeight="true" outlineLevel="0" collapsed="false">
      <c r="A1" s="2" t="s">
        <v>56</v>
      </c>
      <c r="B1" s="2"/>
      <c r="C1" s="2"/>
      <c r="D1" s="2"/>
      <c r="E1" s="2"/>
    </row>
    <row r="2" customFormat="false" ht="15" hidden="false" customHeight="true" outlineLevel="0" collapsed="false">
      <c r="A2" s="14" t="s">
        <v>57</v>
      </c>
      <c r="B2" s="14"/>
      <c r="C2" s="14"/>
      <c r="D2" s="14"/>
      <c r="E2" s="14"/>
    </row>
    <row r="4" customFormat="false" ht="15" hidden="false" customHeight="true" outlineLevel="0" collapsed="false">
      <c r="A4" s="15" t="s">
        <v>58</v>
      </c>
      <c r="B4" s="15"/>
      <c r="C4" s="15"/>
      <c r="D4" s="15"/>
      <c r="E4" s="15"/>
    </row>
    <row r="5" customFormat="false" ht="15" hidden="false" customHeight="true" outlineLevel="0" collapsed="false">
      <c r="A5" s="5" t="s">
        <v>3</v>
      </c>
      <c r="B5" s="16" t="n">
        <f aca="false">Assumptions!B5</f>
        <v>10000</v>
      </c>
      <c r="E5" s="7" t="s">
        <v>59</v>
      </c>
    </row>
    <row r="6" customFormat="false" ht="15" hidden="false" customHeight="true" outlineLevel="0" collapsed="false">
      <c r="A6" s="5" t="s">
        <v>5</v>
      </c>
      <c r="B6" s="16" t="n">
        <f aca="false">Assumptions!B6</f>
        <v>1500</v>
      </c>
      <c r="E6" s="7" t="s">
        <v>60</v>
      </c>
    </row>
    <row r="7" customFormat="false" ht="15" hidden="false" customHeight="true" outlineLevel="0" collapsed="false">
      <c r="A7" s="5" t="s">
        <v>61</v>
      </c>
      <c r="B7" s="16" t="n">
        <f aca="false">Assumptions!B7</f>
        <v>200</v>
      </c>
      <c r="E7" s="7" t="s">
        <v>62</v>
      </c>
    </row>
    <row r="8" customFormat="false" ht="15" hidden="false" customHeight="true" outlineLevel="0" collapsed="false">
      <c r="A8" s="5" t="s">
        <v>9</v>
      </c>
      <c r="B8" s="16" t="n">
        <f aca="false">Assumptions!B8</f>
        <v>25000</v>
      </c>
      <c r="E8" s="7" t="s">
        <v>63</v>
      </c>
    </row>
    <row r="10" customFormat="false" ht="15" hidden="false" customHeight="true" outlineLevel="0" collapsed="false">
      <c r="A10" s="15" t="s">
        <v>64</v>
      </c>
      <c r="B10" s="15"/>
      <c r="C10" s="15"/>
      <c r="D10" s="15"/>
      <c r="E10" s="15"/>
    </row>
    <row r="11" customFormat="false" ht="15" hidden="false" customHeight="true" outlineLevel="0" collapsed="false">
      <c r="A11" s="17" t="s">
        <v>65</v>
      </c>
      <c r="B11" s="17" t="s">
        <v>66</v>
      </c>
      <c r="C11" s="17" t="s">
        <v>67</v>
      </c>
      <c r="D11" s="17" t="s">
        <v>68</v>
      </c>
      <c r="E11" s="17" t="s">
        <v>69</v>
      </c>
    </row>
    <row r="12" customFormat="false" ht="15" hidden="false" customHeight="true" outlineLevel="0" collapsed="false">
      <c r="A12" s="5" t="s">
        <v>70</v>
      </c>
      <c r="B12" s="5" t="s">
        <v>71</v>
      </c>
      <c r="C12" s="5" t="s">
        <v>72</v>
      </c>
      <c r="D12" s="16" t="n">
        <f aca="false">Assumptions!B12</f>
        <v>29500</v>
      </c>
      <c r="E12" s="7" t="s">
        <v>15</v>
      </c>
    </row>
    <row r="13" customFormat="false" ht="15" hidden="false" customHeight="true" outlineLevel="0" collapsed="false">
      <c r="A13" s="5" t="s">
        <v>73</v>
      </c>
      <c r="B13" s="5" t="s">
        <v>74</v>
      </c>
      <c r="C13" s="5" t="s">
        <v>75</v>
      </c>
      <c r="D13" s="16" t="n">
        <f aca="false">Assumptions!B14</f>
        <v>59500</v>
      </c>
      <c r="E13" s="7" t="s">
        <v>19</v>
      </c>
    </row>
    <row r="14" customFormat="false" ht="15" hidden="false" customHeight="true" outlineLevel="0" collapsed="false">
      <c r="A14" s="5" t="s">
        <v>76</v>
      </c>
      <c r="B14" s="5" t="s">
        <v>77</v>
      </c>
      <c r="C14" s="5" t="s">
        <v>78</v>
      </c>
      <c r="D14" s="16" t="n">
        <f aca="false">Assumptions!B16</f>
        <v>61500</v>
      </c>
      <c r="E14" s="7" t="s">
        <v>23</v>
      </c>
    </row>
    <row r="16" customFormat="false" ht="15" hidden="false" customHeight="true" outlineLevel="0" collapsed="false">
      <c r="A16" s="18" t="s">
        <v>79</v>
      </c>
      <c r="D16" s="16" t="n">
        <f aca="false">Assumptions!B17</f>
        <v>44800</v>
      </c>
    </row>
    <row r="18" customFormat="false" ht="15" hidden="false" customHeight="true" outlineLevel="0" collapsed="false">
      <c r="A18" s="15" t="s">
        <v>80</v>
      </c>
      <c r="B18" s="15"/>
      <c r="C18" s="15"/>
      <c r="D18" s="15"/>
      <c r="E18" s="15"/>
    </row>
    <row r="19" customFormat="false" ht="27.75" hidden="false" customHeight="true" outlineLevel="0" collapsed="false">
      <c r="A19" s="5" t="s">
        <v>81</v>
      </c>
      <c r="B19" s="19" t="s">
        <v>82</v>
      </c>
      <c r="C19" s="19"/>
      <c r="D19" s="19"/>
      <c r="E19" s="19"/>
    </row>
    <row r="20" customFormat="false" ht="27.75" hidden="false" customHeight="true" outlineLevel="0" collapsed="false">
      <c r="A20" s="5" t="s">
        <v>83</v>
      </c>
      <c r="B20" s="19" t="s">
        <v>84</v>
      </c>
      <c r="C20" s="19"/>
      <c r="D20" s="19"/>
      <c r="E20" s="19"/>
    </row>
    <row r="21" customFormat="false" ht="27.75" hidden="false" customHeight="true" outlineLevel="0" collapsed="false">
      <c r="A21" s="5" t="s">
        <v>85</v>
      </c>
      <c r="B21" s="19" t="s">
        <v>86</v>
      </c>
      <c r="C21" s="19"/>
      <c r="D21" s="19"/>
      <c r="E21" s="19"/>
    </row>
  </sheetData>
  <mergeCells count="8">
    <mergeCell ref="A1:E1"/>
    <mergeCell ref="A2:E2"/>
    <mergeCell ref="A4:E4"/>
    <mergeCell ref="A10:E10"/>
    <mergeCell ref="A18:E18"/>
    <mergeCell ref="B19:E19"/>
    <mergeCell ref="B20:E20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6"/>
    <col collapsed="false" customWidth="true" hidden="false" outlineLevel="0" max="6" min="6" style="1" width="30"/>
  </cols>
  <sheetData>
    <row r="1" customFormat="false" ht="15.75" hidden="false" customHeight="true" outlineLevel="0" collapsed="false">
      <c r="A1" s="2" t="s">
        <v>87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5" t="s">
        <v>88</v>
      </c>
      <c r="B3" s="15"/>
      <c r="C3" s="15"/>
      <c r="D3" s="15"/>
      <c r="E3" s="15"/>
      <c r="F3" s="15"/>
    </row>
    <row r="4" customFormat="false" ht="15" hidden="false" customHeight="true" outlineLevel="0" collapsed="false">
      <c r="A4" s="17" t="s">
        <v>89</v>
      </c>
      <c r="B4" s="17" t="s">
        <v>90</v>
      </c>
      <c r="C4" s="17" t="s">
        <v>91</v>
      </c>
      <c r="D4" s="17" t="s">
        <v>92</v>
      </c>
      <c r="E4" s="17" t="s">
        <v>93</v>
      </c>
      <c r="F4" s="17" t="s">
        <v>69</v>
      </c>
    </row>
    <row r="5" customFormat="false" ht="15" hidden="false" customHeight="true" outlineLevel="0" collapsed="false">
      <c r="A5" s="5" t="s">
        <v>68</v>
      </c>
      <c r="B5" s="20" t="n">
        <f aca="false">Assumptions!B12</f>
        <v>29500</v>
      </c>
      <c r="C5" s="20" t="n">
        <f aca="false">Assumptions!B14</f>
        <v>59500</v>
      </c>
      <c r="D5" s="20" t="n">
        <f aca="false">Assumptions!B16</f>
        <v>61500</v>
      </c>
      <c r="E5" s="16" t="n">
        <f aca="false">Assumptions!B17</f>
        <v>44800</v>
      </c>
      <c r="F5" s="7" t="s">
        <v>94</v>
      </c>
    </row>
    <row r="6" customFormat="false" ht="15" hidden="false" customHeight="true" outlineLevel="0" collapsed="false">
      <c r="A6" s="5" t="s">
        <v>95</v>
      </c>
      <c r="B6" s="21" t="n">
        <v>660</v>
      </c>
      <c r="C6" s="21" t="n">
        <v>1110</v>
      </c>
      <c r="D6" s="21" t="n">
        <v>1050</v>
      </c>
      <c r="E6" s="20" t="n">
        <f aca="false">Assumptions!B20</f>
        <v>876</v>
      </c>
    </row>
    <row r="7" customFormat="false" ht="15" hidden="false" customHeight="true" outlineLevel="0" collapsed="false">
      <c r="A7" s="5" t="s">
        <v>96</v>
      </c>
      <c r="B7" s="21" t="n">
        <v>2400</v>
      </c>
      <c r="C7" s="21" t="n">
        <v>4000</v>
      </c>
      <c r="D7" s="21" t="n">
        <v>6400</v>
      </c>
      <c r="E7" s="20" t="n">
        <f aca="false">Assumptions!B21</f>
        <v>3560</v>
      </c>
      <c r="F7" s="7" t="s">
        <v>97</v>
      </c>
    </row>
    <row r="8" customFormat="false" ht="15" hidden="false" customHeight="true" outlineLevel="0" collapsed="false">
      <c r="A8" s="5" t="s">
        <v>98</v>
      </c>
      <c r="B8" s="21" t="n">
        <v>1200</v>
      </c>
      <c r="C8" s="21" t="n">
        <v>1500</v>
      </c>
      <c r="D8" s="21" t="n">
        <v>1500</v>
      </c>
      <c r="E8" s="20" t="n">
        <f aca="false">Assumptions!B22</f>
        <v>1350</v>
      </c>
    </row>
    <row r="9" customFormat="false" ht="15" hidden="false" customHeight="true" outlineLevel="0" collapsed="false">
      <c r="A9" s="5" t="s">
        <v>99</v>
      </c>
      <c r="B9" s="22" t="n">
        <f aca="false">B5*Assumptions!$B$24</f>
        <v>737.5</v>
      </c>
      <c r="C9" s="22" t="n">
        <f aca="false">C5*Assumptions!$B$24</f>
        <v>1487.5</v>
      </c>
      <c r="D9" s="22" t="n">
        <f aca="false">D5*Assumptions!$B$24</f>
        <v>1537.5</v>
      </c>
      <c r="E9" s="22" t="n">
        <f aca="false">E5*Assumptions!$B$24</f>
        <v>1120</v>
      </c>
    </row>
    <row r="10" customFormat="false" ht="15" hidden="false" customHeight="true" outlineLevel="0" collapsed="false">
      <c r="A10" s="18" t="s">
        <v>100</v>
      </c>
      <c r="B10" s="9" t="n">
        <f aca="false">SUM(B6:B9)</f>
        <v>4997.5</v>
      </c>
      <c r="C10" s="9" t="n">
        <f aca="false">SUM(C6:C9)</f>
        <v>8097.5</v>
      </c>
      <c r="D10" s="9" t="n">
        <f aca="false">SUM(D6:D9)</f>
        <v>10487.5</v>
      </c>
      <c r="E10" s="9" t="n">
        <f aca="false">SUM(E6:E9)</f>
        <v>6906</v>
      </c>
    </row>
    <row r="11" customFormat="false" ht="15" hidden="false" customHeight="true" outlineLevel="0" collapsed="false">
      <c r="A11" s="18" t="s">
        <v>101</v>
      </c>
      <c r="B11" s="9" t="n">
        <f aca="false">B5-B10</f>
        <v>24502.5</v>
      </c>
      <c r="C11" s="9" t="n">
        <f aca="false">C5-C10</f>
        <v>51402.5</v>
      </c>
      <c r="D11" s="9" t="n">
        <f aca="false">D5-D10</f>
        <v>51012.5</v>
      </c>
      <c r="E11" s="9" t="n">
        <f aca="false">E5-E10</f>
        <v>37894</v>
      </c>
    </row>
    <row r="12" customFormat="false" ht="15" hidden="false" customHeight="true" outlineLevel="0" collapsed="false">
      <c r="A12" s="18" t="s">
        <v>102</v>
      </c>
      <c r="B12" s="10" t="n">
        <f aca="false">B11/B5</f>
        <v>0.830593220338983</v>
      </c>
      <c r="C12" s="10" t="n">
        <f aca="false">C11/C5</f>
        <v>0.86390756302521</v>
      </c>
      <c r="D12" s="10" t="n">
        <f aca="false">D11/D5</f>
        <v>0.829471544715447</v>
      </c>
      <c r="E12" s="10" t="n">
        <f aca="false">E11/E5</f>
        <v>0.845848214285714</v>
      </c>
    </row>
    <row r="14" customFormat="false" ht="15" hidden="false" customHeight="true" outlineLevel="0" collapsed="false">
      <c r="A14" s="15" t="s">
        <v>103</v>
      </c>
      <c r="B14" s="15"/>
      <c r="C14" s="15"/>
      <c r="D14" s="15"/>
      <c r="E14" s="15"/>
      <c r="F14" s="15"/>
    </row>
    <row r="15" customFormat="false" ht="15" hidden="false" customHeight="true" outlineLevel="0" collapsed="false">
      <c r="A15" s="5" t="s">
        <v>104</v>
      </c>
      <c r="B15" s="16" t="n">
        <f aca="false">Assumptions!B17</f>
        <v>44800</v>
      </c>
      <c r="F15" s="7" t="s">
        <v>105</v>
      </c>
    </row>
    <row r="16" customFormat="false" ht="15" hidden="false" customHeight="true" outlineLevel="0" collapsed="false">
      <c r="A16" s="5" t="s">
        <v>106</v>
      </c>
      <c r="B16" s="23" t="n">
        <f aca="false">Assumptions!B25</f>
        <v>0.845848214285714</v>
      </c>
      <c r="F16" s="7" t="s">
        <v>107</v>
      </c>
    </row>
    <row r="17" customFormat="false" ht="15" hidden="false" customHeight="true" outlineLevel="0" collapsed="false">
      <c r="A17" s="5" t="s">
        <v>108</v>
      </c>
      <c r="B17" s="16" t="n">
        <f aca="false">Assumptions!B30</f>
        <v>3157.83333333333</v>
      </c>
      <c r="F17" s="7" t="s">
        <v>109</v>
      </c>
    </row>
    <row r="18" customFormat="false" ht="15" hidden="false" customHeight="true" outlineLevel="0" collapsed="false">
      <c r="A18" s="5" t="s">
        <v>110</v>
      </c>
      <c r="B18" s="16" t="n">
        <f aca="false">Assumptions!B29</f>
        <v>6000</v>
      </c>
      <c r="F18" s="7" t="s">
        <v>111</v>
      </c>
    </row>
    <row r="19" customFormat="false" ht="15" hidden="false" customHeight="true" outlineLevel="0" collapsed="false">
      <c r="A19" s="5" t="s">
        <v>112</v>
      </c>
      <c r="B19" s="24" t="n">
        <f aca="false">Assumptions!B31</f>
        <v>1.90003694516282</v>
      </c>
      <c r="F19" s="7" t="s">
        <v>113</v>
      </c>
    </row>
    <row r="20" customFormat="false" ht="15" hidden="false" customHeight="true" outlineLevel="0" collapsed="false">
      <c r="A20" s="5" t="s">
        <v>114</v>
      </c>
      <c r="B20" s="25" t="n">
        <f aca="false">Assumptions!B33</f>
        <v>66.6666666666667</v>
      </c>
      <c r="F20" s="7" t="s">
        <v>115</v>
      </c>
    </row>
    <row r="21" customFormat="false" ht="15" hidden="false" customHeight="true" outlineLevel="0" collapsed="false">
      <c r="A21" s="5" t="s">
        <v>52</v>
      </c>
      <c r="B21" s="16" t="n">
        <f aca="false">Assumptions!B34</f>
        <v>210522.222222222</v>
      </c>
      <c r="F21" s="7" t="s">
        <v>116</v>
      </c>
    </row>
    <row r="22" customFormat="false" ht="15" hidden="false" customHeight="true" outlineLevel="0" collapsed="false">
      <c r="A22" s="5" t="s">
        <v>54</v>
      </c>
      <c r="B22" s="26" t="n">
        <f aca="false">Assumptions!B35</f>
        <v>35.087037037037</v>
      </c>
      <c r="F22" s="7" t="s">
        <v>117</v>
      </c>
    </row>
    <row r="24" customFormat="false" ht="15" hidden="false" customHeight="true" outlineLevel="0" collapsed="false">
      <c r="A24" s="15" t="s">
        <v>118</v>
      </c>
      <c r="B24" s="15"/>
      <c r="C24" s="15"/>
      <c r="D24" s="15"/>
      <c r="E24" s="15"/>
      <c r="F24" s="15"/>
    </row>
    <row r="25" customFormat="false" ht="30" hidden="false" customHeight="true" outlineLevel="0" collapsed="false">
      <c r="A25" s="27" t="s">
        <v>119</v>
      </c>
      <c r="B25" s="27"/>
      <c r="C25" s="27"/>
      <c r="D25" s="27"/>
      <c r="E25" s="27"/>
      <c r="F25" s="27"/>
    </row>
  </sheetData>
  <mergeCells count="5">
    <mergeCell ref="A1:F1"/>
    <mergeCell ref="A3:F3"/>
    <mergeCell ref="A14:F14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7"/>
    <col collapsed="false" customWidth="true" hidden="false" outlineLevel="0" max="38" min="3" style="1" width="11"/>
  </cols>
  <sheetData>
    <row r="1" customFormat="false" ht="15" hidden="false" customHeight="true" outlineLevel="0" collapsed="false">
      <c r="A1" s="28" t="s">
        <v>120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customFormat="false" ht="15" hidden="false" customHeight="true" outlineLevel="0" collapsed="false">
      <c r="A2" s="18" t="s">
        <v>121</v>
      </c>
      <c r="C2" s="29" t="s">
        <v>122</v>
      </c>
      <c r="D2" s="29" t="s">
        <v>123</v>
      </c>
      <c r="E2" s="29" t="s">
        <v>124</v>
      </c>
      <c r="F2" s="29" t="s">
        <v>125</v>
      </c>
      <c r="G2" s="29" t="s">
        <v>126</v>
      </c>
      <c r="H2" s="29" t="s">
        <v>127</v>
      </c>
      <c r="I2" s="29" t="s">
        <v>128</v>
      </c>
      <c r="J2" s="29" t="s">
        <v>129</v>
      </c>
      <c r="K2" s="29" t="s">
        <v>130</v>
      </c>
      <c r="L2" s="29" t="s">
        <v>131</v>
      </c>
      <c r="M2" s="29" t="s">
        <v>132</v>
      </c>
      <c r="N2" s="29" t="s">
        <v>133</v>
      </c>
      <c r="O2" s="29" t="s">
        <v>134</v>
      </c>
      <c r="P2" s="29" t="s">
        <v>135</v>
      </c>
      <c r="Q2" s="29" t="s">
        <v>136</v>
      </c>
      <c r="R2" s="29" t="s">
        <v>137</v>
      </c>
      <c r="S2" s="29" t="s">
        <v>138</v>
      </c>
      <c r="T2" s="29" t="s">
        <v>139</v>
      </c>
      <c r="U2" s="29" t="s">
        <v>140</v>
      </c>
      <c r="V2" s="29" t="s">
        <v>141</v>
      </c>
      <c r="W2" s="29" t="s">
        <v>142</v>
      </c>
      <c r="X2" s="29" t="s">
        <v>143</v>
      </c>
      <c r="Y2" s="29" t="s">
        <v>144</v>
      </c>
      <c r="Z2" s="29" t="s">
        <v>145</v>
      </c>
      <c r="AA2" s="29" t="s">
        <v>146</v>
      </c>
      <c r="AB2" s="29" t="s">
        <v>147</v>
      </c>
      <c r="AC2" s="29" t="s">
        <v>148</v>
      </c>
      <c r="AD2" s="29" t="s">
        <v>149</v>
      </c>
      <c r="AE2" s="29" t="s">
        <v>150</v>
      </c>
      <c r="AF2" s="29" t="s">
        <v>151</v>
      </c>
      <c r="AG2" s="29" t="s">
        <v>152</v>
      </c>
      <c r="AH2" s="29" t="s">
        <v>153</v>
      </c>
      <c r="AI2" s="29" t="s">
        <v>154</v>
      </c>
      <c r="AJ2" s="29" t="s">
        <v>155</v>
      </c>
      <c r="AK2" s="29" t="s">
        <v>156</v>
      </c>
      <c r="AL2" s="29" t="s">
        <v>157</v>
      </c>
    </row>
    <row r="3" customFormat="false" ht="15" hidden="false" customHeight="true" outlineLevel="0" collapsed="false">
      <c r="A3" s="15" t="s">
        <v>158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 customFormat="false" ht="15" hidden="false" customHeight="true" outlineLevel="0" collapsed="false">
      <c r="A4" s="18" t="s">
        <v>159</v>
      </c>
      <c r="C4" s="9" t="n">
        <f aca="false">C42*Assumptions!$B$28</f>
        <v>0</v>
      </c>
      <c r="D4" s="9" t="n">
        <f aca="false">D42*Assumptions!$B$28</f>
        <v>0</v>
      </c>
      <c r="E4" s="9" t="n">
        <f aca="false">E42*Assumptions!$B$28</f>
        <v>0</v>
      </c>
      <c r="F4" s="9" t="n">
        <f aca="false">F42*Assumptions!$B$28</f>
        <v>0</v>
      </c>
      <c r="G4" s="9" t="n">
        <f aca="false">G42*Assumptions!$B$28</f>
        <v>0</v>
      </c>
      <c r="H4" s="9" t="n">
        <f aca="false">H42*Assumptions!$B$28</f>
        <v>14933.3333333333</v>
      </c>
      <c r="I4" s="9" t="n">
        <f aca="false">I42*Assumptions!$B$28</f>
        <v>26133.3333333333</v>
      </c>
      <c r="J4" s="9" t="n">
        <f aca="false">J42*Assumptions!$B$28</f>
        <v>37333.3333333333</v>
      </c>
      <c r="K4" s="9" t="n">
        <f aca="false">K42*Assumptions!$B$28</f>
        <v>48533.3333333333</v>
      </c>
      <c r="L4" s="9" t="n">
        <f aca="false">L42*Assumptions!$B$28</f>
        <v>59733.3333333333</v>
      </c>
      <c r="M4" s="9" t="n">
        <f aca="false">M42*Assumptions!$B$28</f>
        <v>74666.6666666667</v>
      </c>
      <c r="N4" s="9" t="n">
        <f aca="false">N42*Assumptions!$B$28</f>
        <v>89600</v>
      </c>
      <c r="O4" s="9" t="n">
        <f aca="false">O42*Assumptions!$B$28</f>
        <v>108266.666666667</v>
      </c>
      <c r="P4" s="9" t="n">
        <f aca="false">P42*Assumptions!$B$28</f>
        <v>130666.666666667</v>
      </c>
      <c r="Q4" s="9" t="n">
        <f aca="false">Q42*Assumptions!$B$28</f>
        <v>153066.666666667</v>
      </c>
      <c r="R4" s="9" t="n">
        <f aca="false">R42*Assumptions!$B$28</f>
        <v>175466.666666667</v>
      </c>
      <c r="S4" s="9" t="n">
        <f aca="false">S42*Assumptions!$B$28</f>
        <v>201600</v>
      </c>
      <c r="T4" s="9" t="n">
        <f aca="false">T42*Assumptions!$B$28</f>
        <v>227733.333333333</v>
      </c>
      <c r="U4" s="9" t="n">
        <f aca="false">U42*Assumptions!$B$28</f>
        <v>253866.666666667</v>
      </c>
      <c r="V4" s="9" t="n">
        <f aca="false">V42*Assumptions!$B$28</f>
        <v>283733.333333333</v>
      </c>
      <c r="W4" s="9" t="n">
        <f aca="false">W42*Assumptions!$B$28</f>
        <v>313600</v>
      </c>
      <c r="X4" s="9" t="n">
        <f aca="false">X42*Assumptions!$B$28</f>
        <v>343466.666666667</v>
      </c>
      <c r="Y4" s="9" t="n">
        <f aca="false">Y42*Assumptions!$B$28</f>
        <v>377066.666666667</v>
      </c>
      <c r="Z4" s="9" t="n">
        <f aca="false">Z42*Assumptions!$B$28</f>
        <v>418133.333333333</v>
      </c>
      <c r="AA4" s="9" t="n">
        <f aca="false">AA42*Assumptions!$B$28</f>
        <v>448000</v>
      </c>
      <c r="AB4" s="9" t="n">
        <f aca="false">AB42*Assumptions!$B$28</f>
        <v>470400</v>
      </c>
      <c r="AC4" s="9" t="n">
        <f aca="false">AC42*Assumptions!$B$28</f>
        <v>492800</v>
      </c>
      <c r="AD4" s="9" t="n">
        <f aca="false">AD42*Assumptions!$B$28</f>
        <v>515200</v>
      </c>
      <c r="AE4" s="9" t="n">
        <f aca="false">AE42*Assumptions!$B$28</f>
        <v>537600</v>
      </c>
      <c r="AF4" s="9" t="n">
        <f aca="false">AF42*Assumptions!$B$28</f>
        <v>560000</v>
      </c>
      <c r="AG4" s="9" t="n">
        <f aca="false">AG42*Assumptions!$B$28</f>
        <v>578666.666666667</v>
      </c>
      <c r="AH4" s="9" t="n">
        <f aca="false">AH42*Assumptions!$B$28</f>
        <v>597333.333333333</v>
      </c>
      <c r="AI4" s="9" t="n">
        <f aca="false">AI42*Assumptions!$B$28</f>
        <v>616000</v>
      </c>
      <c r="AJ4" s="9" t="n">
        <f aca="false">AJ42*Assumptions!$B$28</f>
        <v>630933.333333333</v>
      </c>
      <c r="AK4" s="9" t="n">
        <f aca="false">AK42*Assumptions!$B$28</f>
        <v>642133.333333333</v>
      </c>
      <c r="AL4" s="9" t="n">
        <f aca="false">AL42*Assumptions!$B$28</f>
        <v>653333.333333333</v>
      </c>
    </row>
    <row r="6" customFormat="false" ht="15" hidden="false" customHeight="true" outlineLevel="0" collapsed="false">
      <c r="A6" s="5" t="s">
        <v>160</v>
      </c>
      <c r="C6" s="22" t="n">
        <f aca="false">-C42*Assumptions!$B$23/12</f>
        <v>-0</v>
      </c>
      <c r="D6" s="22" t="n">
        <f aca="false">-D42*Assumptions!$B$23/12</f>
        <v>-0</v>
      </c>
      <c r="E6" s="22" t="n">
        <f aca="false">-E42*Assumptions!$B$23/12</f>
        <v>-0</v>
      </c>
      <c r="F6" s="22" t="n">
        <f aca="false">-F42*Assumptions!$B$23/12</f>
        <v>-0</v>
      </c>
      <c r="G6" s="22" t="n">
        <f aca="false">-G42*Assumptions!$B$23/12</f>
        <v>-0</v>
      </c>
      <c r="H6" s="22" t="n">
        <f aca="false">-H42*Assumptions!$B$23/12</f>
        <v>-1928.66666666667</v>
      </c>
      <c r="I6" s="22" t="n">
        <f aca="false">-I42*Assumptions!$B$23/12</f>
        <v>-3375.16666666667</v>
      </c>
      <c r="J6" s="22" t="n">
        <f aca="false">-J42*Assumptions!$B$23/12</f>
        <v>-4821.66666666667</v>
      </c>
      <c r="K6" s="22" t="n">
        <f aca="false">-K42*Assumptions!$B$23/12</f>
        <v>-6268.16666666667</v>
      </c>
      <c r="L6" s="22" t="n">
        <f aca="false">-L42*Assumptions!$B$23/12</f>
        <v>-7714.66666666667</v>
      </c>
      <c r="M6" s="22" t="n">
        <f aca="false">-M42*Assumptions!$B$23/12</f>
        <v>-9643.33333333333</v>
      </c>
      <c r="N6" s="22" t="n">
        <f aca="false">-N42*Assumptions!$B$23/12</f>
        <v>-11572</v>
      </c>
      <c r="O6" s="22" t="n">
        <f aca="false">-O42*Assumptions!$B$23/12</f>
        <v>-13982.8333333333</v>
      </c>
      <c r="P6" s="22" t="n">
        <f aca="false">-P42*Assumptions!$B$23/12</f>
        <v>-16875.8333333333</v>
      </c>
      <c r="Q6" s="22" t="n">
        <f aca="false">-Q42*Assumptions!$B$23/12</f>
        <v>-19768.8333333333</v>
      </c>
      <c r="R6" s="22" t="n">
        <f aca="false">-R42*Assumptions!$B$23/12</f>
        <v>-22661.8333333333</v>
      </c>
      <c r="S6" s="22" t="n">
        <f aca="false">-S42*Assumptions!$B$23/12</f>
        <v>-26037</v>
      </c>
      <c r="T6" s="22" t="n">
        <f aca="false">-T42*Assumptions!$B$23/12</f>
        <v>-29412.1666666667</v>
      </c>
      <c r="U6" s="22" t="n">
        <f aca="false">-U42*Assumptions!$B$23/12</f>
        <v>-32787.3333333333</v>
      </c>
      <c r="V6" s="22" t="n">
        <f aca="false">-V42*Assumptions!$B$23/12</f>
        <v>-36644.6666666667</v>
      </c>
      <c r="W6" s="22" t="n">
        <f aca="false">-W42*Assumptions!$B$23/12</f>
        <v>-40502</v>
      </c>
      <c r="X6" s="22" t="n">
        <f aca="false">-X42*Assumptions!$B$23/12</f>
        <v>-44359.3333333333</v>
      </c>
      <c r="Y6" s="22" t="n">
        <f aca="false">-Y42*Assumptions!$B$23/12</f>
        <v>-48698.8333333333</v>
      </c>
      <c r="Z6" s="22" t="n">
        <f aca="false">-Z42*Assumptions!$B$23/12</f>
        <v>-54002.6666666667</v>
      </c>
      <c r="AA6" s="22" t="n">
        <f aca="false">-AA42*Assumptions!$B$23/12</f>
        <v>-57860</v>
      </c>
      <c r="AB6" s="22" t="n">
        <f aca="false">-AB42*Assumptions!$B$23/12</f>
        <v>-60753</v>
      </c>
      <c r="AC6" s="22" t="n">
        <f aca="false">-AC42*Assumptions!$B$23/12</f>
        <v>-63646</v>
      </c>
      <c r="AD6" s="22" t="n">
        <f aca="false">-AD42*Assumptions!$B$23/12</f>
        <v>-66539</v>
      </c>
      <c r="AE6" s="22" t="n">
        <f aca="false">-AE42*Assumptions!$B$23/12</f>
        <v>-69432</v>
      </c>
      <c r="AF6" s="22" t="n">
        <f aca="false">-AF42*Assumptions!$B$23/12</f>
        <v>-72325</v>
      </c>
      <c r="AG6" s="22" t="n">
        <f aca="false">-AG42*Assumptions!$B$23/12</f>
        <v>-74735.8333333333</v>
      </c>
      <c r="AH6" s="22" t="n">
        <f aca="false">-AH42*Assumptions!$B$23/12</f>
        <v>-77146.6666666667</v>
      </c>
      <c r="AI6" s="22" t="n">
        <f aca="false">-AI42*Assumptions!$B$23/12</f>
        <v>-79557.5</v>
      </c>
      <c r="AJ6" s="22" t="n">
        <f aca="false">-AJ42*Assumptions!$B$23/12</f>
        <v>-81486.1666666667</v>
      </c>
      <c r="AK6" s="22" t="n">
        <f aca="false">-AK42*Assumptions!$B$23/12</f>
        <v>-82932.6666666667</v>
      </c>
      <c r="AL6" s="22" t="n">
        <f aca="false">-AL42*Assumptions!$B$23/12</f>
        <v>-84379.1666666667</v>
      </c>
    </row>
    <row r="7" customFormat="false" ht="15" hidden="false" customHeight="true" outlineLevel="0" collapsed="false">
      <c r="A7" s="5" t="s">
        <v>161</v>
      </c>
      <c r="C7" s="22" t="n">
        <f aca="false">-C4*Assumptions!$B$24</f>
        <v>-0</v>
      </c>
      <c r="D7" s="22" t="n">
        <f aca="false">-D4*Assumptions!$B$24</f>
        <v>-0</v>
      </c>
      <c r="E7" s="22" t="n">
        <f aca="false">-E4*Assumptions!$B$24</f>
        <v>-0</v>
      </c>
      <c r="F7" s="22" t="n">
        <f aca="false">-F4*Assumptions!$B$24</f>
        <v>-0</v>
      </c>
      <c r="G7" s="22" t="n">
        <f aca="false">-G4*Assumptions!$B$24</f>
        <v>-0</v>
      </c>
      <c r="H7" s="22" t="n">
        <f aca="false">-H4*Assumptions!$B$24</f>
        <v>-373.333333333333</v>
      </c>
      <c r="I7" s="22" t="n">
        <f aca="false">-I4*Assumptions!$B$24</f>
        <v>-653.333333333334</v>
      </c>
      <c r="J7" s="22" t="n">
        <f aca="false">-J4*Assumptions!$B$24</f>
        <v>-933.333333333334</v>
      </c>
      <c r="K7" s="22" t="n">
        <f aca="false">-K4*Assumptions!$B$24</f>
        <v>-1213.33333333333</v>
      </c>
      <c r="L7" s="22" t="n">
        <f aca="false">-L4*Assumptions!$B$24</f>
        <v>-1493.33333333333</v>
      </c>
      <c r="M7" s="22" t="n">
        <f aca="false">-M4*Assumptions!$B$24</f>
        <v>-1866.66666666667</v>
      </c>
      <c r="N7" s="22" t="n">
        <f aca="false">-N4*Assumptions!$B$24</f>
        <v>-2240</v>
      </c>
      <c r="O7" s="22" t="n">
        <f aca="false">-O4*Assumptions!$B$24</f>
        <v>-2706.66666666667</v>
      </c>
      <c r="P7" s="22" t="n">
        <f aca="false">-P4*Assumptions!$B$24</f>
        <v>-3266.66666666667</v>
      </c>
      <c r="Q7" s="22" t="n">
        <f aca="false">-Q4*Assumptions!$B$24</f>
        <v>-3826.66666666667</v>
      </c>
      <c r="R7" s="22" t="n">
        <f aca="false">-R4*Assumptions!$B$24</f>
        <v>-4386.66666666667</v>
      </c>
      <c r="S7" s="22" t="n">
        <f aca="false">-S4*Assumptions!$B$24</f>
        <v>-5040</v>
      </c>
      <c r="T7" s="22" t="n">
        <f aca="false">-T4*Assumptions!$B$24</f>
        <v>-5693.33333333333</v>
      </c>
      <c r="U7" s="22" t="n">
        <f aca="false">-U4*Assumptions!$B$24</f>
        <v>-6346.66666666667</v>
      </c>
      <c r="V7" s="22" t="n">
        <f aca="false">-V4*Assumptions!$B$24</f>
        <v>-7093.33333333334</v>
      </c>
      <c r="W7" s="22" t="n">
        <f aca="false">-W4*Assumptions!$B$24</f>
        <v>-7840</v>
      </c>
      <c r="X7" s="22" t="n">
        <f aca="false">-X4*Assumptions!$B$24</f>
        <v>-8586.66666666667</v>
      </c>
      <c r="Y7" s="22" t="n">
        <f aca="false">-Y4*Assumptions!$B$24</f>
        <v>-9426.66666666667</v>
      </c>
      <c r="Z7" s="22" t="n">
        <f aca="false">-Z4*Assumptions!$B$24</f>
        <v>-10453.3333333333</v>
      </c>
      <c r="AA7" s="22" t="n">
        <f aca="false">-AA4*Assumptions!$B$24</f>
        <v>-11200</v>
      </c>
      <c r="AB7" s="22" t="n">
        <f aca="false">-AB4*Assumptions!$B$24</f>
        <v>-11760</v>
      </c>
      <c r="AC7" s="22" t="n">
        <f aca="false">-AC4*Assumptions!$B$24</f>
        <v>-12320</v>
      </c>
      <c r="AD7" s="22" t="n">
        <f aca="false">-AD4*Assumptions!$B$24</f>
        <v>-12880</v>
      </c>
      <c r="AE7" s="22" t="n">
        <f aca="false">-AE4*Assumptions!$B$24</f>
        <v>-13440</v>
      </c>
      <c r="AF7" s="22" t="n">
        <f aca="false">-AF4*Assumptions!$B$24</f>
        <v>-14000</v>
      </c>
      <c r="AG7" s="22" t="n">
        <f aca="false">-AG4*Assumptions!$B$24</f>
        <v>-14466.6666666667</v>
      </c>
      <c r="AH7" s="22" t="n">
        <f aca="false">-AH4*Assumptions!$B$24</f>
        <v>-14933.3333333333</v>
      </c>
      <c r="AI7" s="22" t="n">
        <f aca="false">-AI4*Assumptions!$B$24</f>
        <v>-15400</v>
      </c>
      <c r="AJ7" s="22" t="n">
        <f aca="false">-AJ4*Assumptions!$B$24</f>
        <v>-15773.3333333333</v>
      </c>
      <c r="AK7" s="22" t="n">
        <f aca="false">-AK4*Assumptions!$B$24</f>
        <v>-16053.3333333333</v>
      </c>
      <c r="AL7" s="22" t="n">
        <f aca="false">-AL4*Assumptions!$B$24</f>
        <v>-16333.3333333333</v>
      </c>
    </row>
    <row r="8" customFormat="false" ht="15" hidden="false" customHeight="true" outlineLevel="0" collapsed="false">
      <c r="A8" s="18" t="s">
        <v>162</v>
      </c>
      <c r="C8" s="9" t="n">
        <f aca="false">C6+C7</f>
        <v>-0</v>
      </c>
      <c r="D8" s="9" t="n">
        <f aca="false">D6+D7</f>
        <v>-0</v>
      </c>
      <c r="E8" s="9" t="n">
        <f aca="false">E6+E7</f>
        <v>-0</v>
      </c>
      <c r="F8" s="9" t="n">
        <f aca="false">F6+F7</f>
        <v>-0</v>
      </c>
      <c r="G8" s="9" t="n">
        <f aca="false">G6+G7</f>
        <v>-0</v>
      </c>
      <c r="H8" s="9" t="n">
        <f aca="false">H6+H7</f>
        <v>-2302</v>
      </c>
      <c r="I8" s="9" t="n">
        <f aca="false">I6+I7</f>
        <v>-4028.5</v>
      </c>
      <c r="J8" s="9" t="n">
        <f aca="false">J6+J7</f>
        <v>-5755</v>
      </c>
      <c r="K8" s="9" t="n">
        <f aca="false">K6+K7</f>
        <v>-7481.5</v>
      </c>
      <c r="L8" s="9" t="n">
        <f aca="false">L6+L7</f>
        <v>-9208</v>
      </c>
      <c r="M8" s="9" t="n">
        <f aca="false">M6+M7</f>
        <v>-11510</v>
      </c>
      <c r="N8" s="9" t="n">
        <f aca="false">N6+N7</f>
        <v>-13812</v>
      </c>
      <c r="O8" s="9" t="n">
        <f aca="false">O6+O7</f>
        <v>-16689.5</v>
      </c>
      <c r="P8" s="9" t="n">
        <f aca="false">P6+P7</f>
        <v>-20142.5</v>
      </c>
      <c r="Q8" s="9" t="n">
        <f aca="false">Q6+Q7</f>
        <v>-23595.5</v>
      </c>
      <c r="R8" s="9" t="n">
        <f aca="false">R6+R7</f>
        <v>-27048.5</v>
      </c>
      <c r="S8" s="9" t="n">
        <f aca="false">S6+S7</f>
        <v>-31077</v>
      </c>
      <c r="T8" s="9" t="n">
        <f aca="false">T6+T7</f>
        <v>-35105.5</v>
      </c>
      <c r="U8" s="9" t="n">
        <f aca="false">U6+U7</f>
        <v>-39134</v>
      </c>
      <c r="V8" s="9" t="n">
        <f aca="false">V6+V7</f>
        <v>-43738</v>
      </c>
      <c r="W8" s="9" t="n">
        <f aca="false">W6+W7</f>
        <v>-48342</v>
      </c>
      <c r="X8" s="9" t="n">
        <f aca="false">X6+X7</f>
        <v>-52946</v>
      </c>
      <c r="Y8" s="9" t="n">
        <f aca="false">Y6+Y7</f>
        <v>-58125.5</v>
      </c>
      <c r="Z8" s="9" t="n">
        <f aca="false">Z6+Z7</f>
        <v>-64456</v>
      </c>
      <c r="AA8" s="9" t="n">
        <f aca="false">AA6+AA7</f>
        <v>-69060</v>
      </c>
      <c r="AB8" s="9" t="n">
        <f aca="false">AB6+AB7</f>
        <v>-72513</v>
      </c>
      <c r="AC8" s="9" t="n">
        <f aca="false">AC6+AC7</f>
        <v>-75966</v>
      </c>
      <c r="AD8" s="9" t="n">
        <f aca="false">AD6+AD7</f>
        <v>-79419</v>
      </c>
      <c r="AE8" s="9" t="n">
        <f aca="false">AE6+AE7</f>
        <v>-82872</v>
      </c>
      <c r="AF8" s="9" t="n">
        <f aca="false">AF6+AF7</f>
        <v>-86325</v>
      </c>
      <c r="AG8" s="9" t="n">
        <f aca="false">AG6+AG7</f>
        <v>-89202.5</v>
      </c>
      <c r="AH8" s="9" t="n">
        <f aca="false">AH6+AH7</f>
        <v>-92080</v>
      </c>
      <c r="AI8" s="9" t="n">
        <f aca="false">AI6+AI7</f>
        <v>-94957.5</v>
      </c>
      <c r="AJ8" s="9" t="n">
        <f aca="false">AJ6+AJ7</f>
        <v>-97259.5</v>
      </c>
      <c r="AK8" s="9" t="n">
        <f aca="false">AK6+AK7</f>
        <v>-98986</v>
      </c>
      <c r="AL8" s="9" t="n">
        <f aca="false">AL6+AL7</f>
        <v>-100712.5</v>
      </c>
    </row>
    <row r="9" customFormat="false" ht="15" hidden="false" customHeight="true" outlineLevel="0" collapsed="false">
      <c r="A9" s="18" t="s">
        <v>163</v>
      </c>
      <c r="C9" s="9" t="n">
        <f aca="false">C4+C8</f>
        <v>0</v>
      </c>
      <c r="D9" s="9" t="n">
        <f aca="false">D4+D8</f>
        <v>0</v>
      </c>
      <c r="E9" s="9" t="n">
        <f aca="false">E4+E8</f>
        <v>0</v>
      </c>
      <c r="F9" s="9" t="n">
        <f aca="false">F4+F8</f>
        <v>0</v>
      </c>
      <c r="G9" s="9" t="n">
        <f aca="false">G4+G8</f>
        <v>0</v>
      </c>
      <c r="H9" s="9" t="n">
        <f aca="false">H4+H8</f>
        <v>12631.3333333333</v>
      </c>
      <c r="I9" s="9" t="n">
        <f aca="false">I4+I8</f>
        <v>22104.8333333333</v>
      </c>
      <c r="J9" s="9" t="n">
        <f aca="false">J4+J8</f>
        <v>31578.3333333333</v>
      </c>
      <c r="K9" s="9" t="n">
        <f aca="false">K4+K8</f>
        <v>41051.8333333333</v>
      </c>
      <c r="L9" s="9" t="n">
        <f aca="false">L4+L8</f>
        <v>50525.3333333333</v>
      </c>
      <c r="M9" s="9" t="n">
        <f aca="false">M4+M8</f>
        <v>63156.6666666667</v>
      </c>
      <c r="N9" s="9" t="n">
        <f aca="false">N4+N8</f>
        <v>75788</v>
      </c>
      <c r="O9" s="9" t="n">
        <f aca="false">O4+O8</f>
        <v>91577.1666666667</v>
      </c>
      <c r="P9" s="9" t="n">
        <f aca="false">P4+P8</f>
        <v>110524.166666667</v>
      </c>
      <c r="Q9" s="9" t="n">
        <f aca="false">Q4+Q8</f>
        <v>129471.166666667</v>
      </c>
      <c r="R9" s="9" t="n">
        <f aca="false">R4+R8</f>
        <v>148418.166666667</v>
      </c>
      <c r="S9" s="9" t="n">
        <f aca="false">S4+S8</f>
        <v>170523</v>
      </c>
      <c r="T9" s="9" t="n">
        <f aca="false">T4+T8</f>
        <v>192627.833333333</v>
      </c>
      <c r="U9" s="9" t="n">
        <f aca="false">U4+U8</f>
        <v>214732.666666667</v>
      </c>
      <c r="V9" s="9" t="n">
        <f aca="false">V4+V8</f>
        <v>239995.333333333</v>
      </c>
      <c r="W9" s="9" t="n">
        <f aca="false">W4+W8</f>
        <v>265258</v>
      </c>
      <c r="X9" s="9" t="n">
        <f aca="false">X4+X8</f>
        <v>290520.666666667</v>
      </c>
      <c r="Y9" s="9" t="n">
        <f aca="false">Y4+Y8</f>
        <v>318941.166666667</v>
      </c>
      <c r="Z9" s="9" t="n">
        <f aca="false">Z4+Z8</f>
        <v>353677.333333333</v>
      </c>
      <c r="AA9" s="9" t="n">
        <f aca="false">AA4+AA8</f>
        <v>378940</v>
      </c>
      <c r="AB9" s="9" t="n">
        <f aca="false">AB4+AB8</f>
        <v>397887</v>
      </c>
      <c r="AC9" s="9" t="n">
        <f aca="false">AC4+AC8</f>
        <v>416834</v>
      </c>
      <c r="AD9" s="9" t="n">
        <f aca="false">AD4+AD8</f>
        <v>435781</v>
      </c>
      <c r="AE9" s="9" t="n">
        <f aca="false">AE4+AE8</f>
        <v>454728</v>
      </c>
      <c r="AF9" s="9" t="n">
        <f aca="false">AF4+AF8</f>
        <v>473675</v>
      </c>
      <c r="AG9" s="9" t="n">
        <f aca="false">AG4+AG8</f>
        <v>489464.166666667</v>
      </c>
      <c r="AH9" s="9" t="n">
        <f aca="false">AH4+AH8</f>
        <v>505253.333333333</v>
      </c>
      <c r="AI9" s="9" t="n">
        <f aca="false">AI4+AI8</f>
        <v>521042.5</v>
      </c>
      <c r="AJ9" s="9" t="n">
        <f aca="false">AJ4+AJ8</f>
        <v>533673.833333333</v>
      </c>
      <c r="AK9" s="9" t="n">
        <f aca="false">AK4+AK8</f>
        <v>543147.333333333</v>
      </c>
      <c r="AL9" s="9" t="n">
        <f aca="false">AL4+AL8</f>
        <v>552620.833333333</v>
      </c>
    </row>
    <row r="11" customFormat="false" ht="15" hidden="false" customHeight="true" outlineLevel="0" collapsed="false">
      <c r="A11" s="15" t="s">
        <v>164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 customFormat="false" ht="15" hidden="false" customHeight="true" outlineLevel="0" collapsed="false">
      <c r="A12" s="30" t="s">
        <v>165</v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-3450</v>
      </c>
      <c r="K12" s="21" t="n">
        <v>-3450</v>
      </c>
      <c r="L12" s="21" t="n">
        <v>-3450</v>
      </c>
      <c r="M12" s="21" t="n">
        <v>-3450</v>
      </c>
      <c r="N12" s="21" t="n">
        <v>-3450</v>
      </c>
      <c r="O12" s="21" t="n">
        <v>-3554</v>
      </c>
      <c r="P12" s="21" t="n">
        <v>-3554</v>
      </c>
      <c r="Q12" s="21" t="n">
        <v>-3554</v>
      </c>
      <c r="R12" s="21" t="n">
        <v>-3554</v>
      </c>
      <c r="S12" s="21" t="n">
        <v>-3554</v>
      </c>
      <c r="T12" s="21" t="n">
        <v>-3554</v>
      </c>
      <c r="U12" s="21" t="n">
        <v>-3554</v>
      </c>
      <c r="V12" s="21" t="n">
        <v>-3554</v>
      </c>
      <c r="W12" s="21" t="n">
        <v>-3554</v>
      </c>
      <c r="X12" s="21" t="n">
        <v>-3554</v>
      </c>
      <c r="Y12" s="21" t="n">
        <v>-3554</v>
      </c>
      <c r="Z12" s="21" t="n">
        <v>-3554</v>
      </c>
      <c r="AA12" s="21" t="n">
        <v>-3660</v>
      </c>
      <c r="AB12" s="21" t="n">
        <v>-3660</v>
      </c>
      <c r="AC12" s="21" t="n">
        <v>-3660</v>
      </c>
      <c r="AD12" s="21" t="n">
        <v>-3660</v>
      </c>
      <c r="AE12" s="21" t="n">
        <v>-3660</v>
      </c>
      <c r="AF12" s="21" t="n">
        <v>-3660</v>
      </c>
      <c r="AG12" s="21" t="n">
        <v>-3660</v>
      </c>
      <c r="AH12" s="21" t="n">
        <v>-3660</v>
      </c>
      <c r="AI12" s="21" t="n">
        <v>-3660</v>
      </c>
      <c r="AJ12" s="21" t="n">
        <v>-3660</v>
      </c>
      <c r="AK12" s="21" t="n">
        <v>-3660</v>
      </c>
      <c r="AL12" s="21" t="n">
        <v>-3660</v>
      </c>
    </row>
    <row r="13" customFormat="false" ht="15" hidden="false" customHeight="true" outlineLevel="0" collapsed="false">
      <c r="A13" s="30" t="s">
        <v>166</v>
      </c>
      <c r="C13" s="21" t="n">
        <v>-9583</v>
      </c>
      <c r="D13" s="21" t="n">
        <v>-9583</v>
      </c>
      <c r="E13" s="21" t="n">
        <v>-9583</v>
      </c>
      <c r="F13" s="21" t="n">
        <v>-9583</v>
      </c>
      <c r="G13" s="21" t="n">
        <v>-9583</v>
      </c>
      <c r="H13" s="21" t="n">
        <v>-9583</v>
      </c>
      <c r="I13" s="21" t="n">
        <v>-9583</v>
      </c>
      <c r="J13" s="21" t="n">
        <v>-9583</v>
      </c>
      <c r="K13" s="21" t="n">
        <v>-9583</v>
      </c>
      <c r="L13" s="21" t="n">
        <v>-9583</v>
      </c>
      <c r="M13" s="21" t="n">
        <v>-9583</v>
      </c>
      <c r="N13" s="21" t="n">
        <v>-9583</v>
      </c>
      <c r="O13" s="21" t="n">
        <v>-9870</v>
      </c>
      <c r="P13" s="21" t="n">
        <v>-9870</v>
      </c>
      <c r="Q13" s="21" t="n">
        <v>-9870</v>
      </c>
      <c r="R13" s="21" t="n">
        <v>-9870</v>
      </c>
      <c r="S13" s="21" t="n">
        <v>-9870</v>
      </c>
      <c r="T13" s="21" t="n">
        <v>-9870</v>
      </c>
      <c r="U13" s="21" t="n">
        <v>-9870</v>
      </c>
      <c r="V13" s="21" t="n">
        <v>-9870</v>
      </c>
      <c r="W13" s="21" t="n">
        <v>-9870</v>
      </c>
      <c r="X13" s="21" t="n">
        <v>-9870</v>
      </c>
      <c r="Y13" s="21" t="n">
        <v>-9870</v>
      </c>
      <c r="Z13" s="21" t="n">
        <v>-9870</v>
      </c>
      <c r="AA13" s="21" t="n">
        <v>-10167</v>
      </c>
      <c r="AB13" s="21" t="n">
        <v>-10167</v>
      </c>
      <c r="AC13" s="21" t="n">
        <v>-10167</v>
      </c>
      <c r="AD13" s="21" t="n">
        <v>-10167</v>
      </c>
      <c r="AE13" s="21" t="n">
        <v>-10167</v>
      </c>
      <c r="AF13" s="21" t="n">
        <v>-10167</v>
      </c>
      <c r="AG13" s="21" t="n">
        <v>-10167</v>
      </c>
      <c r="AH13" s="21" t="n">
        <v>-10167</v>
      </c>
      <c r="AI13" s="21" t="n">
        <v>-10167</v>
      </c>
      <c r="AJ13" s="21" t="n">
        <v>-10167</v>
      </c>
      <c r="AK13" s="21" t="n">
        <v>-10167</v>
      </c>
      <c r="AL13" s="21" t="n">
        <v>-10167</v>
      </c>
    </row>
    <row r="14" customFormat="false" ht="15" hidden="false" customHeight="true" outlineLevel="0" collapsed="false">
      <c r="A14" s="30" t="s">
        <v>167</v>
      </c>
      <c r="C14" s="21" t="n">
        <v>0</v>
      </c>
      <c r="D14" s="21" t="n">
        <v>-6229</v>
      </c>
      <c r="E14" s="21" t="n">
        <v>-6229</v>
      </c>
      <c r="F14" s="21" t="n">
        <v>-6229</v>
      </c>
      <c r="G14" s="21" t="n">
        <v>-6229</v>
      </c>
      <c r="H14" s="21" t="n">
        <v>-6229</v>
      </c>
      <c r="I14" s="21" t="n">
        <v>-6229</v>
      </c>
      <c r="J14" s="21" t="n">
        <v>-6229</v>
      </c>
      <c r="K14" s="21" t="n">
        <v>-6229</v>
      </c>
      <c r="L14" s="21" t="n">
        <v>-6229</v>
      </c>
      <c r="M14" s="21" t="n">
        <v>-6229</v>
      </c>
      <c r="N14" s="21" t="n">
        <v>-6229</v>
      </c>
      <c r="O14" s="21" t="n">
        <v>-6416</v>
      </c>
      <c r="P14" s="21" t="n">
        <v>-6416</v>
      </c>
      <c r="Q14" s="21" t="n">
        <v>-6416</v>
      </c>
      <c r="R14" s="21" t="n">
        <v>-6416</v>
      </c>
      <c r="S14" s="21" t="n">
        <v>-6416</v>
      </c>
      <c r="T14" s="21" t="n">
        <v>-6416</v>
      </c>
      <c r="U14" s="21" t="n">
        <v>-6416</v>
      </c>
      <c r="V14" s="21" t="n">
        <v>-6416</v>
      </c>
      <c r="W14" s="21" t="n">
        <v>-6416</v>
      </c>
      <c r="X14" s="21" t="n">
        <v>-6416</v>
      </c>
      <c r="Y14" s="21" t="n">
        <v>-6416</v>
      </c>
      <c r="Z14" s="21" t="n">
        <v>-6416</v>
      </c>
      <c r="AA14" s="21" t="n">
        <v>-6608</v>
      </c>
      <c r="AB14" s="21" t="n">
        <v>-6608</v>
      </c>
      <c r="AC14" s="21" t="n">
        <v>-6608</v>
      </c>
      <c r="AD14" s="21" t="n">
        <v>-6608</v>
      </c>
      <c r="AE14" s="21" t="n">
        <v>-6608</v>
      </c>
      <c r="AF14" s="21" t="n">
        <v>-6608</v>
      </c>
      <c r="AG14" s="21" t="n">
        <v>-6608</v>
      </c>
      <c r="AH14" s="21" t="n">
        <v>-6608</v>
      </c>
      <c r="AI14" s="21" t="n">
        <v>-6608</v>
      </c>
      <c r="AJ14" s="21" t="n">
        <v>-6608</v>
      </c>
      <c r="AK14" s="21" t="n">
        <v>-6608</v>
      </c>
      <c r="AL14" s="21" t="n">
        <v>-6608</v>
      </c>
    </row>
    <row r="15" customFormat="false" ht="15" hidden="false" customHeight="true" outlineLevel="0" collapsed="false">
      <c r="A15" s="30" t="s">
        <v>168</v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-6416</v>
      </c>
      <c r="P15" s="21" t="n">
        <v>-6416</v>
      </c>
      <c r="Q15" s="21" t="n">
        <v>-6416</v>
      </c>
      <c r="R15" s="21" t="n">
        <v>-6416</v>
      </c>
      <c r="S15" s="21" t="n">
        <v>-6416</v>
      </c>
      <c r="T15" s="21" t="n">
        <v>-6416</v>
      </c>
      <c r="U15" s="21" t="n">
        <v>-6416</v>
      </c>
      <c r="V15" s="21" t="n">
        <v>-6416</v>
      </c>
      <c r="W15" s="21" t="n">
        <v>-6416</v>
      </c>
      <c r="X15" s="21" t="n">
        <v>-6416</v>
      </c>
      <c r="Y15" s="21" t="n">
        <v>-6416</v>
      </c>
      <c r="Z15" s="21" t="n">
        <v>-6416</v>
      </c>
      <c r="AA15" s="21" t="n">
        <v>-6608</v>
      </c>
      <c r="AB15" s="21" t="n">
        <v>-6608</v>
      </c>
      <c r="AC15" s="21" t="n">
        <v>-6608</v>
      </c>
      <c r="AD15" s="21" t="n">
        <v>-6608</v>
      </c>
      <c r="AE15" s="21" t="n">
        <v>-6608</v>
      </c>
      <c r="AF15" s="21" t="n">
        <v>-6608</v>
      </c>
      <c r="AG15" s="21" t="n">
        <v>-6608</v>
      </c>
      <c r="AH15" s="21" t="n">
        <v>-6608</v>
      </c>
      <c r="AI15" s="21" t="n">
        <v>-6608</v>
      </c>
      <c r="AJ15" s="21" t="n">
        <v>-6608</v>
      </c>
      <c r="AK15" s="21" t="n">
        <v>-6608</v>
      </c>
      <c r="AL15" s="21" t="n">
        <v>-6608</v>
      </c>
    </row>
    <row r="16" customFormat="false" ht="15" hidden="false" customHeight="true" outlineLevel="0" collapsed="false">
      <c r="A16" s="30" t="s">
        <v>169</v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-6416</v>
      </c>
      <c r="Y16" s="21" t="n">
        <v>-6416</v>
      </c>
      <c r="Z16" s="21" t="n">
        <v>-6416</v>
      </c>
      <c r="AA16" s="21" t="n">
        <v>-6608</v>
      </c>
      <c r="AB16" s="21" t="n">
        <v>-6608</v>
      </c>
      <c r="AC16" s="21" t="n">
        <v>-6608</v>
      </c>
      <c r="AD16" s="21" t="n">
        <v>-6608</v>
      </c>
      <c r="AE16" s="21" t="n">
        <v>-6608</v>
      </c>
      <c r="AF16" s="21" t="n">
        <v>-6608</v>
      </c>
      <c r="AG16" s="21" t="n">
        <v>-6608</v>
      </c>
      <c r="AH16" s="21" t="n">
        <v>-6608</v>
      </c>
      <c r="AI16" s="21" t="n">
        <v>-6608</v>
      </c>
      <c r="AJ16" s="21" t="n">
        <v>-6608</v>
      </c>
      <c r="AK16" s="21" t="n">
        <v>-6608</v>
      </c>
      <c r="AL16" s="21" t="n">
        <v>-6608</v>
      </c>
    </row>
    <row r="17" customFormat="false" ht="15" hidden="false" customHeight="true" outlineLevel="0" collapsed="false">
      <c r="A17" s="30" t="s">
        <v>170</v>
      </c>
      <c r="C17" s="21" t="n">
        <v>-5000</v>
      </c>
      <c r="D17" s="21" t="n">
        <v>-5000</v>
      </c>
      <c r="E17" s="21" t="n">
        <v>-5000</v>
      </c>
      <c r="F17" s="21" t="n">
        <v>-5000</v>
      </c>
      <c r="G17" s="21" t="n">
        <v>-5000</v>
      </c>
      <c r="H17" s="21" t="n">
        <v>-5000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</row>
    <row r="18" customFormat="false" ht="15" hidden="false" customHeight="true" outlineLevel="0" collapsed="false">
      <c r="A18" s="30" t="s">
        <v>171</v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-3000</v>
      </c>
      <c r="J18" s="21" t="n">
        <v>-3000</v>
      </c>
      <c r="K18" s="21" t="n">
        <v>-3000</v>
      </c>
      <c r="L18" s="21" t="n">
        <v>-3000</v>
      </c>
      <c r="M18" s="21" t="n">
        <v>-3000</v>
      </c>
      <c r="N18" s="21" t="n">
        <v>-3000</v>
      </c>
      <c r="O18" s="21" t="n">
        <v>-3090</v>
      </c>
      <c r="P18" s="21" t="n">
        <v>-3090</v>
      </c>
      <c r="Q18" s="21" t="n">
        <v>-3090</v>
      </c>
      <c r="R18" s="21" t="n">
        <v>-3090</v>
      </c>
      <c r="S18" s="21" t="n">
        <v>-3090</v>
      </c>
      <c r="T18" s="21" t="n">
        <v>-3090</v>
      </c>
      <c r="U18" s="21" t="n">
        <v>-3090</v>
      </c>
      <c r="V18" s="21" t="n">
        <v>-3090</v>
      </c>
      <c r="W18" s="21" t="n">
        <v>-3090</v>
      </c>
      <c r="X18" s="21" t="n">
        <v>-3090</v>
      </c>
      <c r="Y18" s="21" t="n">
        <v>-3090</v>
      </c>
      <c r="Z18" s="21" t="n">
        <v>-3090</v>
      </c>
      <c r="AA18" s="21" t="n">
        <v>-3183</v>
      </c>
      <c r="AB18" s="21" t="n">
        <v>-3183</v>
      </c>
      <c r="AC18" s="21" t="n">
        <v>-3183</v>
      </c>
      <c r="AD18" s="21" t="n">
        <v>-3183</v>
      </c>
      <c r="AE18" s="21" t="n">
        <v>-3183</v>
      </c>
      <c r="AF18" s="21" t="n">
        <v>-3183</v>
      </c>
      <c r="AG18" s="21" t="n">
        <v>-3183</v>
      </c>
      <c r="AH18" s="21" t="n">
        <v>-3183</v>
      </c>
      <c r="AI18" s="21" t="n">
        <v>-3183</v>
      </c>
      <c r="AJ18" s="21" t="n">
        <v>-3183</v>
      </c>
      <c r="AK18" s="21" t="n">
        <v>-3183</v>
      </c>
      <c r="AL18" s="21" t="n">
        <v>-3183</v>
      </c>
    </row>
    <row r="19" customFormat="false" ht="15" hidden="false" customHeight="true" outlineLevel="0" collapsed="false">
      <c r="A19" s="30" t="s">
        <v>172</v>
      </c>
      <c r="C19" s="21" t="n">
        <v>-2300</v>
      </c>
      <c r="D19" s="21" t="n">
        <v>-2300</v>
      </c>
      <c r="E19" s="21" t="n">
        <v>-2300</v>
      </c>
      <c r="F19" s="21" t="n">
        <v>-2300</v>
      </c>
      <c r="G19" s="21" t="n">
        <v>-2300</v>
      </c>
      <c r="H19" s="21" t="n">
        <v>-2300</v>
      </c>
      <c r="I19" s="21" t="n">
        <v>-2300</v>
      </c>
      <c r="J19" s="21" t="n">
        <v>-2300</v>
      </c>
      <c r="K19" s="21" t="n">
        <v>-2300</v>
      </c>
      <c r="L19" s="21" t="n">
        <v>-2300</v>
      </c>
      <c r="M19" s="21" t="n">
        <v>-2300</v>
      </c>
      <c r="N19" s="21" t="n">
        <v>-2300</v>
      </c>
      <c r="O19" s="21" t="n">
        <v>-2369</v>
      </c>
      <c r="P19" s="21" t="n">
        <v>-2369</v>
      </c>
      <c r="Q19" s="21" t="n">
        <v>-2369</v>
      </c>
      <c r="R19" s="21" t="n">
        <v>-2369</v>
      </c>
      <c r="S19" s="21" t="n">
        <v>-2369</v>
      </c>
      <c r="T19" s="21" t="n">
        <v>-2369</v>
      </c>
      <c r="U19" s="21" t="n">
        <v>-2369</v>
      </c>
      <c r="V19" s="21" t="n">
        <v>-2369</v>
      </c>
      <c r="W19" s="21" t="n">
        <v>-2369</v>
      </c>
      <c r="X19" s="21" t="n">
        <v>-2369</v>
      </c>
      <c r="Y19" s="21" t="n">
        <v>-2369</v>
      </c>
      <c r="Z19" s="21" t="n">
        <v>-2369</v>
      </c>
      <c r="AA19" s="21" t="n">
        <v>-2440</v>
      </c>
      <c r="AB19" s="21" t="n">
        <v>-2440</v>
      </c>
      <c r="AC19" s="21" t="n">
        <v>-2440</v>
      </c>
      <c r="AD19" s="21" t="n">
        <v>-2440</v>
      </c>
      <c r="AE19" s="21" t="n">
        <v>-2440</v>
      </c>
      <c r="AF19" s="21" t="n">
        <v>-2440</v>
      </c>
      <c r="AG19" s="21" t="n">
        <v>-2440</v>
      </c>
      <c r="AH19" s="21" t="n">
        <v>-2440</v>
      </c>
      <c r="AI19" s="21" t="n">
        <v>-2440</v>
      </c>
      <c r="AJ19" s="21" t="n">
        <v>-2440</v>
      </c>
      <c r="AK19" s="21" t="n">
        <v>-2440</v>
      </c>
      <c r="AL19" s="21" t="n">
        <v>-2440</v>
      </c>
    </row>
    <row r="20" customFormat="false" ht="15" hidden="false" customHeight="true" outlineLevel="0" collapsed="false">
      <c r="A20" s="30" t="s">
        <v>173</v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-3067</v>
      </c>
      <c r="L20" s="21" t="n">
        <v>-3067</v>
      </c>
      <c r="M20" s="21" t="n">
        <v>-3067</v>
      </c>
      <c r="N20" s="21" t="n">
        <v>-3067</v>
      </c>
      <c r="O20" s="21" t="n">
        <v>-3159</v>
      </c>
      <c r="P20" s="21" t="n">
        <v>-3159</v>
      </c>
      <c r="Q20" s="21" t="n">
        <v>-3159</v>
      </c>
      <c r="R20" s="21" t="n">
        <v>-3159</v>
      </c>
      <c r="S20" s="21" t="n">
        <v>-3159</v>
      </c>
      <c r="T20" s="21" t="n">
        <v>-3159</v>
      </c>
      <c r="U20" s="21" t="n">
        <v>-3159</v>
      </c>
      <c r="V20" s="21" t="n">
        <v>-3159</v>
      </c>
      <c r="W20" s="21" t="n">
        <v>-3159</v>
      </c>
      <c r="X20" s="21" t="n">
        <v>-3159</v>
      </c>
      <c r="Y20" s="21" t="n">
        <v>-3159</v>
      </c>
      <c r="Z20" s="21" t="n">
        <v>-3159</v>
      </c>
      <c r="AA20" s="21" t="n">
        <v>-3254</v>
      </c>
      <c r="AB20" s="21" t="n">
        <v>-3254</v>
      </c>
      <c r="AC20" s="21" t="n">
        <v>-3254</v>
      </c>
      <c r="AD20" s="21" t="n">
        <v>-3254</v>
      </c>
      <c r="AE20" s="21" t="n">
        <v>-3254</v>
      </c>
      <c r="AF20" s="21" t="n">
        <v>-3254</v>
      </c>
      <c r="AG20" s="21" t="n">
        <v>-3254</v>
      </c>
      <c r="AH20" s="21" t="n">
        <v>-3254</v>
      </c>
      <c r="AI20" s="21" t="n">
        <v>-3254</v>
      </c>
      <c r="AJ20" s="21" t="n">
        <v>-3254</v>
      </c>
      <c r="AK20" s="21" t="n">
        <v>-3254</v>
      </c>
      <c r="AL20" s="21" t="n">
        <v>-3254</v>
      </c>
    </row>
    <row r="21" customFormat="false" ht="15" hidden="false" customHeight="true" outlineLevel="0" collapsed="false">
      <c r="A21" s="30" t="s">
        <v>174</v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-3159</v>
      </c>
      <c r="Y21" s="21" t="n">
        <v>-3159</v>
      </c>
      <c r="Z21" s="21" t="n">
        <v>-3159</v>
      </c>
      <c r="AA21" s="21" t="n">
        <v>-3254</v>
      </c>
      <c r="AB21" s="21" t="n">
        <v>-3254</v>
      </c>
      <c r="AC21" s="21" t="n">
        <v>-3254</v>
      </c>
      <c r="AD21" s="21" t="n">
        <v>-3254</v>
      </c>
      <c r="AE21" s="21" t="n">
        <v>-3254</v>
      </c>
      <c r="AF21" s="21" t="n">
        <v>-3254</v>
      </c>
      <c r="AG21" s="21" t="n">
        <v>-3254</v>
      </c>
      <c r="AH21" s="21" t="n">
        <v>-3254</v>
      </c>
      <c r="AI21" s="21" t="n">
        <v>-3254</v>
      </c>
      <c r="AJ21" s="21" t="n">
        <v>-3254</v>
      </c>
      <c r="AK21" s="21" t="n">
        <v>-3254</v>
      </c>
      <c r="AL21" s="21" t="n">
        <v>-3254</v>
      </c>
    </row>
    <row r="22" customFormat="false" ht="15" hidden="false" customHeight="true" outlineLevel="0" collapsed="false">
      <c r="A22" s="30" t="s">
        <v>175</v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-2961</v>
      </c>
      <c r="P22" s="21" t="n">
        <v>-2961</v>
      </c>
      <c r="Q22" s="21" t="n">
        <v>-2961</v>
      </c>
      <c r="R22" s="21" t="n">
        <v>-2961</v>
      </c>
      <c r="S22" s="21" t="n">
        <v>-2961</v>
      </c>
      <c r="T22" s="21" t="n">
        <v>-2961</v>
      </c>
      <c r="U22" s="21" t="n">
        <v>-2961</v>
      </c>
      <c r="V22" s="21" t="n">
        <v>-2961</v>
      </c>
      <c r="W22" s="21" t="n">
        <v>-2961</v>
      </c>
      <c r="X22" s="21" t="n">
        <v>-2961</v>
      </c>
      <c r="Y22" s="21" t="n">
        <v>-2961</v>
      </c>
      <c r="Z22" s="21" t="n">
        <v>-2961</v>
      </c>
      <c r="AA22" s="21" t="n">
        <v>-3050</v>
      </c>
      <c r="AB22" s="21" t="n">
        <v>-3050</v>
      </c>
      <c r="AC22" s="21" t="n">
        <v>-3050</v>
      </c>
      <c r="AD22" s="21" t="n">
        <v>-3050</v>
      </c>
      <c r="AE22" s="21" t="n">
        <v>-3050</v>
      </c>
      <c r="AF22" s="21" t="n">
        <v>-3050</v>
      </c>
      <c r="AG22" s="21" t="n">
        <v>-3050</v>
      </c>
      <c r="AH22" s="21" t="n">
        <v>-3050</v>
      </c>
      <c r="AI22" s="21" t="n">
        <v>-3050</v>
      </c>
      <c r="AJ22" s="21" t="n">
        <v>-3050</v>
      </c>
      <c r="AK22" s="21" t="n">
        <v>-3050</v>
      </c>
      <c r="AL22" s="21" t="n">
        <v>-3050</v>
      </c>
    </row>
    <row r="23" customFormat="false" ht="15" hidden="false" customHeight="true" outlineLevel="0" collapsed="false">
      <c r="A23" s="30" t="s">
        <v>176</v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-3751</v>
      </c>
      <c r="T23" s="21" t="n">
        <v>-3751</v>
      </c>
      <c r="U23" s="21" t="n">
        <v>-3751</v>
      </c>
      <c r="V23" s="21" t="n">
        <v>-3751</v>
      </c>
      <c r="W23" s="21" t="n">
        <v>-3751</v>
      </c>
      <c r="X23" s="21" t="n">
        <v>-3751</v>
      </c>
      <c r="Y23" s="21" t="n">
        <v>-3751</v>
      </c>
      <c r="Z23" s="21" t="n">
        <v>-3751</v>
      </c>
      <c r="AA23" s="21" t="n">
        <v>-3864</v>
      </c>
      <c r="AB23" s="21" t="n">
        <v>-3864</v>
      </c>
      <c r="AC23" s="21" t="n">
        <v>-3864</v>
      </c>
      <c r="AD23" s="21" t="n">
        <v>-3864</v>
      </c>
      <c r="AE23" s="21" t="n">
        <v>-3864</v>
      </c>
      <c r="AF23" s="21" t="n">
        <v>-3864</v>
      </c>
      <c r="AG23" s="21" t="n">
        <v>-3864</v>
      </c>
      <c r="AH23" s="21" t="n">
        <v>-3864</v>
      </c>
      <c r="AI23" s="21" t="n">
        <v>-3864</v>
      </c>
      <c r="AJ23" s="21" t="n">
        <v>-3864</v>
      </c>
      <c r="AK23" s="21" t="n">
        <v>-3864</v>
      </c>
      <c r="AL23" s="21" t="n">
        <v>-3864</v>
      </c>
    </row>
    <row r="24" customFormat="false" ht="15" hidden="false" customHeight="true" outlineLevel="0" collapsed="false">
      <c r="A24" s="18" t="s">
        <v>177</v>
      </c>
      <c r="C24" s="31" t="n">
        <f aca="false">SUM(C12:C23)</f>
        <v>-16883</v>
      </c>
      <c r="D24" s="31" t="n">
        <f aca="false">SUM(D12:D23)</f>
        <v>-23112</v>
      </c>
      <c r="E24" s="31" t="n">
        <f aca="false">SUM(E12:E23)</f>
        <v>-23112</v>
      </c>
      <c r="F24" s="31" t="n">
        <f aca="false">SUM(F12:F23)</f>
        <v>-23112</v>
      </c>
      <c r="G24" s="31" t="n">
        <f aca="false">SUM(G12:G23)</f>
        <v>-23112</v>
      </c>
      <c r="H24" s="31" t="n">
        <f aca="false">SUM(H12:H23)</f>
        <v>-23112</v>
      </c>
      <c r="I24" s="31" t="n">
        <f aca="false">SUM(I12:I23)</f>
        <v>-21112</v>
      </c>
      <c r="J24" s="31" t="n">
        <f aca="false">SUM(J12:J23)</f>
        <v>-24562</v>
      </c>
      <c r="K24" s="31" t="n">
        <f aca="false">SUM(K12:K23)</f>
        <v>-27629</v>
      </c>
      <c r="L24" s="31" t="n">
        <f aca="false">SUM(L12:L23)</f>
        <v>-27629</v>
      </c>
      <c r="M24" s="31" t="n">
        <f aca="false">SUM(M12:M23)</f>
        <v>-27629</v>
      </c>
      <c r="N24" s="31" t="n">
        <f aca="false">SUM(N12:N23)</f>
        <v>-27629</v>
      </c>
      <c r="O24" s="31" t="n">
        <f aca="false">SUM(O12:O23)</f>
        <v>-37835</v>
      </c>
      <c r="P24" s="31" t="n">
        <f aca="false">SUM(P12:P23)</f>
        <v>-37835</v>
      </c>
      <c r="Q24" s="31" t="n">
        <f aca="false">SUM(Q12:Q23)</f>
        <v>-37835</v>
      </c>
      <c r="R24" s="31" t="n">
        <f aca="false">SUM(R12:R23)</f>
        <v>-37835</v>
      </c>
      <c r="S24" s="31" t="n">
        <f aca="false">SUM(S12:S23)</f>
        <v>-41586</v>
      </c>
      <c r="T24" s="31" t="n">
        <f aca="false">SUM(T12:T23)</f>
        <v>-41586</v>
      </c>
      <c r="U24" s="31" t="n">
        <f aca="false">SUM(U12:U23)</f>
        <v>-41586</v>
      </c>
      <c r="V24" s="31" t="n">
        <f aca="false">SUM(V12:V23)</f>
        <v>-41586</v>
      </c>
      <c r="W24" s="31" t="n">
        <f aca="false">SUM(W12:W23)</f>
        <v>-41586</v>
      </c>
      <c r="X24" s="31" t="n">
        <f aca="false">SUM(X12:X23)</f>
        <v>-51161</v>
      </c>
      <c r="Y24" s="31" t="n">
        <f aca="false">SUM(Y12:Y23)</f>
        <v>-51161</v>
      </c>
      <c r="Z24" s="31" t="n">
        <f aca="false">SUM(Z12:Z23)</f>
        <v>-51161</v>
      </c>
      <c r="AA24" s="31" t="n">
        <f aca="false">SUM(AA12:AA23)</f>
        <v>-52696</v>
      </c>
      <c r="AB24" s="31" t="n">
        <f aca="false">SUM(AB12:AB23)</f>
        <v>-52696</v>
      </c>
      <c r="AC24" s="31" t="n">
        <f aca="false">SUM(AC12:AC23)</f>
        <v>-52696</v>
      </c>
      <c r="AD24" s="31" t="n">
        <f aca="false">SUM(AD12:AD23)</f>
        <v>-52696</v>
      </c>
      <c r="AE24" s="31" t="n">
        <f aca="false">SUM(AE12:AE23)</f>
        <v>-52696</v>
      </c>
      <c r="AF24" s="31" t="n">
        <f aca="false">SUM(AF12:AF23)</f>
        <v>-52696</v>
      </c>
      <c r="AG24" s="31" t="n">
        <f aca="false">SUM(AG12:AG23)</f>
        <v>-52696</v>
      </c>
      <c r="AH24" s="31" t="n">
        <f aca="false">SUM(AH12:AH23)</f>
        <v>-52696</v>
      </c>
      <c r="AI24" s="31" t="n">
        <f aca="false">SUM(AI12:AI23)</f>
        <v>-52696</v>
      </c>
      <c r="AJ24" s="31" t="n">
        <f aca="false">SUM(AJ12:AJ23)</f>
        <v>-52696</v>
      </c>
      <c r="AK24" s="31" t="n">
        <f aca="false">SUM(AK12:AK23)</f>
        <v>-52696</v>
      </c>
      <c r="AL24" s="31" t="n">
        <f aca="false">SUM(AL12:AL23)</f>
        <v>-52696</v>
      </c>
    </row>
    <row r="26" customFormat="false" ht="15" hidden="false" customHeight="true" outlineLevel="0" collapsed="false">
      <c r="A26" s="15" t="s">
        <v>178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 customFormat="false" ht="15" hidden="false" customHeight="true" outlineLevel="0" collapsed="false">
      <c r="A27" s="30" t="s">
        <v>179</v>
      </c>
      <c r="C27" s="21" t="n">
        <v>-950</v>
      </c>
      <c r="D27" s="21" t="n">
        <v>-950</v>
      </c>
      <c r="E27" s="21" t="n">
        <v>-950</v>
      </c>
      <c r="F27" s="21" t="n">
        <v>-950</v>
      </c>
      <c r="G27" s="21" t="n">
        <v>-950</v>
      </c>
      <c r="H27" s="21" t="n">
        <v>-950</v>
      </c>
      <c r="I27" s="21" t="n">
        <v>-950</v>
      </c>
      <c r="J27" s="21" t="n">
        <v>-950</v>
      </c>
      <c r="K27" s="21" t="n">
        <v>-950</v>
      </c>
      <c r="L27" s="21" t="n">
        <v>-950</v>
      </c>
      <c r="M27" s="21" t="n">
        <v>-950</v>
      </c>
      <c r="N27" s="21" t="n">
        <v>-950</v>
      </c>
      <c r="O27" s="21" t="n">
        <v>-950</v>
      </c>
      <c r="P27" s="21" t="n">
        <v>-950</v>
      </c>
      <c r="Q27" s="21" t="n">
        <v>-950</v>
      </c>
      <c r="R27" s="21" t="n">
        <v>-950</v>
      </c>
      <c r="S27" s="21" t="n">
        <v>-950</v>
      </c>
      <c r="T27" s="21" t="n">
        <v>-950</v>
      </c>
      <c r="U27" s="21" t="n">
        <v>-950</v>
      </c>
      <c r="V27" s="21" t="n">
        <v>-950</v>
      </c>
      <c r="W27" s="21" t="n">
        <v>-950</v>
      </c>
      <c r="X27" s="21" t="n">
        <v>-950</v>
      </c>
      <c r="Y27" s="21" t="n">
        <v>-950</v>
      </c>
      <c r="Z27" s="21" t="n">
        <v>-950</v>
      </c>
      <c r="AA27" s="21" t="n">
        <v>-950</v>
      </c>
      <c r="AB27" s="21" t="n">
        <v>-950</v>
      </c>
      <c r="AC27" s="21" t="n">
        <v>-950</v>
      </c>
      <c r="AD27" s="21" t="n">
        <v>-950</v>
      </c>
      <c r="AE27" s="21" t="n">
        <v>-950</v>
      </c>
      <c r="AF27" s="21" t="n">
        <v>-950</v>
      </c>
      <c r="AG27" s="21" t="n">
        <v>-950</v>
      </c>
      <c r="AH27" s="21" t="n">
        <v>-950</v>
      </c>
      <c r="AI27" s="21" t="n">
        <v>-950</v>
      </c>
      <c r="AJ27" s="21" t="n">
        <v>-950</v>
      </c>
      <c r="AK27" s="21" t="n">
        <v>-950</v>
      </c>
      <c r="AL27" s="21" t="n">
        <v>-950</v>
      </c>
    </row>
    <row r="28" customFormat="false" ht="15" hidden="false" customHeight="true" outlineLevel="0" collapsed="false">
      <c r="A28" s="30" t="s">
        <v>180</v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-1000</v>
      </c>
      <c r="K28" s="21" t="n">
        <v>-1000</v>
      </c>
      <c r="L28" s="21" t="n">
        <v>-2000</v>
      </c>
      <c r="M28" s="21" t="n">
        <v>-3000</v>
      </c>
      <c r="N28" s="21" t="n">
        <v>-4000</v>
      </c>
      <c r="O28" s="21" t="n">
        <v>-8000</v>
      </c>
      <c r="P28" s="21" t="n">
        <v>-8000</v>
      </c>
      <c r="Q28" s="21" t="n">
        <v>-8000</v>
      </c>
      <c r="R28" s="21" t="n">
        <v>-8000</v>
      </c>
      <c r="S28" s="21" t="n">
        <v>-8000</v>
      </c>
      <c r="T28" s="21" t="n">
        <v>-8000</v>
      </c>
      <c r="U28" s="21" t="n">
        <v>-8000</v>
      </c>
      <c r="V28" s="21" t="n">
        <v>-8000</v>
      </c>
      <c r="W28" s="21" t="n">
        <v>-8000</v>
      </c>
      <c r="X28" s="21" t="n">
        <v>-8000</v>
      </c>
      <c r="Y28" s="21" t="n">
        <v>-8000</v>
      </c>
      <c r="Z28" s="21" t="n">
        <v>-8000</v>
      </c>
      <c r="AA28" s="21" t="n">
        <v>-15000</v>
      </c>
      <c r="AB28" s="21" t="n">
        <v>-15000</v>
      </c>
      <c r="AC28" s="21" t="n">
        <v>-15000</v>
      </c>
      <c r="AD28" s="21" t="n">
        <v>-15000</v>
      </c>
      <c r="AE28" s="21" t="n">
        <v>-15000</v>
      </c>
      <c r="AF28" s="21" t="n">
        <v>-15000</v>
      </c>
      <c r="AG28" s="21" t="n">
        <v>-20000</v>
      </c>
      <c r="AH28" s="21" t="n">
        <v>-20000</v>
      </c>
      <c r="AI28" s="21" t="n">
        <v>-20000</v>
      </c>
      <c r="AJ28" s="21" t="n">
        <v>-20000</v>
      </c>
      <c r="AK28" s="21" t="n">
        <v>-20000</v>
      </c>
      <c r="AL28" s="21" t="n">
        <v>-20000</v>
      </c>
    </row>
    <row r="29" customFormat="false" ht="15" hidden="false" customHeight="true" outlineLevel="0" collapsed="false">
      <c r="A29" s="30" t="s">
        <v>181</v>
      </c>
      <c r="C29" s="21" t="n">
        <v>-1200</v>
      </c>
      <c r="D29" s="21" t="n">
        <v>-1200</v>
      </c>
      <c r="E29" s="21" t="n">
        <v>-1200</v>
      </c>
      <c r="F29" s="21" t="n">
        <v>-1200</v>
      </c>
      <c r="G29" s="21" t="n">
        <v>-1200</v>
      </c>
      <c r="H29" s="21" t="n">
        <v>-1200</v>
      </c>
      <c r="I29" s="21" t="n">
        <v>-1200</v>
      </c>
      <c r="J29" s="21" t="n">
        <v>-1200</v>
      </c>
      <c r="K29" s="21" t="n">
        <v>-1200</v>
      </c>
      <c r="L29" s="21" t="n">
        <v>-1200</v>
      </c>
      <c r="M29" s="21" t="n">
        <v>-1200</v>
      </c>
      <c r="N29" s="21" t="n">
        <v>-1200</v>
      </c>
      <c r="O29" s="21" t="n">
        <v>-1200</v>
      </c>
      <c r="P29" s="21" t="n">
        <v>-1200</v>
      </c>
      <c r="Q29" s="21" t="n">
        <v>-1200</v>
      </c>
      <c r="R29" s="21" t="n">
        <v>-1200</v>
      </c>
      <c r="S29" s="21" t="n">
        <v>-1200</v>
      </c>
      <c r="T29" s="21" t="n">
        <v>-1200</v>
      </c>
      <c r="U29" s="21" t="n">
        <v>-1200</v>
      </c>
      <c r="V29" s="21" t="n">
        <v>-1200</v>
      </c>
      <c r="W29" s="21" t="n">
        <v>-1200</v>
      </c>
      <c r="X29" s="21" t="n">
        <v>-1200</v>
      </c>
      <c r="Y29" s="21" t="n">
        <v>-1200</v>
      </c>
      <c r="Z29" s="21" t="n">
        <v>-1200</v>
      </c>
      <c r="AA29" s="21" t="n">
        <v>-1200</v>
      </c>
      <c r="AB29" s="21" t="n">
        <v>-1200</v>
      </c>
      <c r="AC29" s="21" t="n">
        <v>-1200</v>
      </c>
      <c r="AD29" s="21" t="n">
        <v>-1200</v>
      </c>
      <c r="AE29" s="21" t="n">
        <v>-1200</v>
      </c>
      <c r="AF29" s="21" t="n">
        <v>-1200</v>
      </c>
      <c r="AG29" s="21" t="n">
        <v>-1200</v>
      </c>
      <c r="AH29" s="21" t="n">
        <v>-1200</v>
      </c>
      <c r="AI29" s="21" t="n">
        <v>-1200</v>
      </c>
      <c r="AJ29" s="21" t="n">
        <v>-1200</v>
      </c>
      <c r="AK29" s="21" t="n">
        <v>-1200</v>
      </c>
      <c r="AL29" s="21" t="n">
        <v>-1200</v>
      </c>
    </row>
    <row r="30" customFormat="false" ht="15" hidden="false" customHeight="true" outlineLevel="0" collapsed="false">
      <c r="A30" s="30" t="s">
        <v>182</v>
      </c>
      <c r="C30" s="21" t="n">
        <v>-500</v>
      </c>
      <c r="D30" s="21" t="n">
        <v>-500</v>
      </c>
      <c r="E30" s="21" t="n">
        <v>-500</v>
      </c>
      <c r="F30" s="21" t="n">
        <v>-500</v>
      </c>
      <c r="G30" s="21" t="n">
        <v>-500</v>
      </c>
      <c r="H30" s="21" t="n">
        <v>-500</v>
      </c>
      <c r="I30" s="21" t="n">
        <v>-500</v>
      </c>
      <c r="J30" s="21" t="n">
        <v>-500</v>
      </c>
      <c r="K30" s="21" t="n">
        <v>-800</v>
      </c>
      <c r="L30" s="21" t="n">
        <v>-800</v>
      </c>
      <c r="M30" s="21" t="n">
        <v>-800</v>
      </c>
      <c r="N30" s="21" t="n">
        <v>-800</v>
      </c>
      <c r="O30" s="21" t="n">
        <v>-800</v>
      </c>
      <c r="P30" s="21" t="n">
        <v>-800</v>
      </c>
      <c r="Q30" s="21" t="n">
        <v>-800</v>
      </c>
      <c r="R30" s="21" t="n">
        <v>-800</v>
      </c>
      <c r="S30" s="21" t="n">
        <v>-800</v>
      </c>
      <c r="T30" s="21" t="n">
        <v>-800</v>
      </c>
      <c r="U30" s="21" t="n">
        <v>-800</v>
      </c>
      <c r="V30" s="21" t="n">
        <v>-800</v>
      </c>
      <c r="W30" s="21" t="n">
        <v>-800</v>
      </c>
      <c r="X30" s="21" t="n">
        <v>-800</v>
      </c>
      <c r="Y30" s="21" t="n">
        <v>-800</v>
      </c>
      <c r="Z30" s="21" t="n">
        <v>-800</v>
      </c>
      <c r="AA30" s="21" t="n">
        <v>-800</v>
      </c>
      <c r="AB30" s="21" t="n">
        <v>-800</v>
      </c>
      <c r="AC30" s="21" t="n">
        <v>-800</v>
      </c>
      <c r="AD30" s="21" t="n">
        <v>-800</v>
      </c>
      <c r="AE30" s="21" t="n">
        <v>-800</v>
      </c>
      <c r="AF30" s="21" t="n">
        <v>-800</v>
      </c>
      <c r="AG30" s="21" t="n">
        <v>-800</v>
      </c>
      <c r="AH30" s="21" t="n">
        <v>-800</v>
      </c>
      <c r="AI30" s="21" t="n">
        <v>-800</v>
      </c>
      <c r="AJ30" s="21" t="n">
        <v>-800</v>
      </c>
      <c r="AK30" s="21" t="n">
        <v>-800</v>
      </c>
      <c r="AL30" s="21" t="n">
        <v>-800</v>
      </c>
    </row>
    <row r="31" customFormat="false" ht="15" hidden="false" customHeight="true" outlineLevel="0" collapsed="false">
      <c r="A31" s="30" t="s">
        <v>183</v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-3000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-3000</v>
      </c>
      <c r="U31" s="21" t="n">
        <v>0</v>
      </c>
      <c r="V31" s="21" t="n">
        <v>0</v>
      </c>
      <c r="W31" s="21" t="n">
        <v>0</v>
      </c>
      <c r="X31" s="21" t="n">
        <v>0</v>
      </c>
      <c r="Y31" s="21" t="n">
        <v>0</v>
      </c>
      <c r="Z31" s="21" t="n">
        <v>-3000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-3000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-3000</v>
      </c>
    </row>
    <row r="32" customFormat="false" ht="15" hidden="false" customHeight="true" outlineLevel="0" collapsed="false">
      <c r="A32" s="30" t="s">
        <v>184</v>
      </c>
      <c r="C32" s="22" t="n">
        <f aca="false">-C4*0.015</f>
        <v>-0</v>
      </c>
      <c r="D32" s="22" t="n">
        <f aca="false">-D4*0.015</f>
        <v>-0</v>
      </c>
      <c r="E32" s="22" t="n">
        <f aca="false">-E4*0.015</f>
        <v>-0</v>
      </c>
      <c r="F32" s="22" t="n">
        <f aca="false">-F4*0.015</f>
        <v>-0</v>
      </c>
      <c r="G32" s="22" t="n">
        <f aca="false">-G4*0.015</f>
        <v>-0</v>
      </c>
      <c r="H32" s="22" t="n">
        <f aca="false">-H4*0.015</f>
        <v>-224</v>
      </c>
      <c r="I32" s="22" t="n">
        <f aca="false">-I4*0.015</f>
        <v>-392</v>
      </c>
      <c r="J32" s="22" t="n">
        <f aca="false">-J4*0.015</f>
        <v>-560</v>
      </c>
      <c r="K32" s="22" t="n">
        <f aca="false">-K4*0.015</f>
        <v>-728</v>
      </c>
      <c r="L32" s="22" t="n">
        <f aca="false">-L4*0.015</f>
        <v>-896</v>
      </c>
      <c r="M32" s="22" t="n">
        <f aca="false">-M4*0.015</f>
        <v>-1120</v>
      </c>
      <c r="N32" s="22" t="n">
        <f aca="false">-N4*0.015</f>
        <v>-1344</v>
      </c>
      <c r="O32" s="22" t="n">
        <f aca="false">-O4*0.015</f>
        <v>-1624</v>
      </c>
      <c r="P32" s="22" t="n">
        <f aca="false">-P4*0.015</f>
        <v>-1960</v>
      </c>
      <c r="Q32" s="22" t="n">
        <f aca="false">-Q4*0.015</f>
        <v>-2296</v>
      </c>
      <c r="R32" s="22" t="n">
        <f aca="false">-R4*0.015</f>
        <v>-2632</v>
      </c>
      <c r="S32" s="22" t="n">
        <f aca="false">-S4*0.015</f>
        <v>-3024</v>
      </c>
      <c r="T32" s="22" t="n">
        <f aca="false">-T4*0.015</f>
        <v>-3416</v>
      </c>
      <c r="U32" s="22" t="n">
        <f aca="false">-U4*0.015</f>
        <v>-3808</v>
      </c>
      <c r="V32" s="22" t="n">
        <f aca="false">-V4*0.015</f>
        <v>-4256</v>
      </c>
      <c r="W32" s="22" t="n">
        <f aca="false">-W4*0.015</f>
        <v>-4704</v>
      </c>
      <c r="X32" s="22" t="n">
        <f aca="false">-X4*0.015</f>
        <v>-5152</v>
      </c>
      <c r="Y32" s="22" t="n">
        <f aca="false">-Y4*0.015</f>
        <v>-5656</v>
      </c>
      <c r="Z32" s="22" t="n">
        <f aca="false">-Z4*0.015</f>
        <v>-6272</v>
      </c>
      <c r="AA32" s="22" t="n">
        <f aca="false">-AA4*0.015</f>
        <v>-6720</v>
      </c>
      <c r="AB32" s="22" t="n">
        <f aca="false">-AB4*0.015</f>
        <v>-7056</v>
      </c>
      <c r="AC32" s="22" t="n">
        <f aca="false">-AC4*0.015</f>
        <v>-7392</v>
      </c>
      <c r="AD32" s="22" t="n">
        <f aca="false">-AD4*0.015</f>
        <v>-7728</v>
      </c>
      <c r="AE32" s="22" t="n">
        <f aca="false">-AE4*0.015</f>
        <v>-8064</v>
      </c>
      <c r="AF32" s="22" t="n">
        <f aca="false">-AF4*0.015</f>
        <v>-8400</v>
      </c>
      <c r="AG32" s="22" t="n">
        <f aca="false">-AG4*0.015</f>
        <v>-8680</v>
      </c>
      <c r="AH32" s="22" t="n">
        <f aca="false">-AH4*0.015</f>
        <v>-8960</v>
      </c>
      <c r="AI32" s="22" t="n">
        <f aca="false">-AI4*0.015</f>
        <v>-9240</v>
      </c>
      <c r="AJ32" s="22" t="n">
        <f aca="false">-AJ4*0.015</f>
        <v>-9464</v>
      </c>
      <c r="AK32" s="22" t="n">
        <f aca="false">-AK4*0.015</f>
        <v>-9632</v>
      </c>
      <c r="AL32" s="22" t="n">
        <f aca="false">-AL4*0.015</f>
        <v>-9800</v>
      </c>
    </row>
    <row r="33" customFormat="false" ht="15" hidden="false" customHeight="true" outlineLevel="0" collapsed="false">
      <c r="A33" s="18" t="s">
        <v>185</v>
      </c>
      <c r="C33" s="31" t="n">
        <f aca="false">SUM(C27:C32)</f>
        <v>-2650</v>
      </c>
      <c r="D33" s="31" t="n">
        <f aca="false">SUM(D27:D32)</f>
        <v>-2650</v>
      </c>
      <c r="E33" s="31" t="n">
        <f aca="false">SUM(E27:E32)</f>
        <v>-2650</v>
      </c>
      <c r="F33" s="31" t="n">
        <f aca="false">SUM(F27:F32)</f>
        <v>-2650</v>
      </c>
      <c r="G33" s="31" t="n">
        <f aca="false">SUM(G27:G32)</f>
        <v>-2650</v>
      </c>
      <c r="H33" s="31" t="n">
        <f aca="false">SUM(H27:H32)</f>
        <v>-2874</v>
      </c>
      <c r="I33" s="31" t="n">
        <f aca="false">SUM(I27:I32)</f>
        <v>-3042</v>
      </c>
      <c r="J33" s="31" t="n">
        <f aca="false">SUM(J27:J32)</f>
        <v>-4210</v>
      </c>
      <c r="K33" s="31" t="n">
        <f aca="false">SUM(K27:K32)</f>
        <v>-4678</v>
      </c>
      <c r="L33" s="31" t="n">
        <f aca="false">SUM(L27:L32)</f>
        <v>-8846</v>
      </c>
      <c r="M33" s="31" t="n">
        <f aca="false">SUM(M27:M32)</f>
        <v>-7070</v>
      </c>
      <c r="N33" s="31" t="n">
        <f aca="false">SUM(N27:N32)</f>
        <v>-8294</v>
      </c>
      <c r="O33" s="31" t="n">
        <f aca="false">SUM(O27:O32)</f>
        <v>-12574</v>
      </c>
      <c r="P33" s="31" t="n">
        <f aca="false">SUM(P27:P32)</f>
        <v>-12910</v>
      </c>
      <c r="Q33" s="31" t="n">
        <f aca="false">SUM(Q27:Q32)</f>
        <v>-13246</v>
      </c>
      <c r="R33" s="31" t="n">
        <f aca="false">SUM(R27:R32)</f>
        <v>-13582</v>
      </c>
      <c r="S33" s="31" t="n">
        <f aca="false">SUM(S27:S32)</f>
        <v>-13974</v>
      </c>
      <c r="T33" s="31" t="n">
        <f aca="false">SUM(T27:T32)</f>
        <v>-17366</v>
      </c>
      <c r="U33" s="31" t="n">
        <f aca="false">SUM(U27:U32)</f>
        <v>-14758</v>
      </c>
      <c r="V33" s="31" t="n">
        <f aca="false">SUM(V27:V32)</f>
        <v>-15206</v>
      </c>
      <c r="W33" s="31" t="n">
        <f aca="false">SUM(W27:W32)</f>
        <v>-15654</v>
      </c>
      <c r="X33" s="31" t="n">
        <f aca="false">SUM(X27:X32)</f>
        <v>-16102</v>
      </c>
      <c r="Y33" s="31" t="n">
        <f aca="false">SUM(Y27:Y32)</f>
        <v>-16606</v>
      </c>
      <c r="Z33" s="31" t="n">
        <f aca="false">SUM(Z27:Z32)</f>
        <v>-20222</v>
      </c>
      <c r="AA33" s="31" t="n">
        <f aca="false">SUM(AA27:AA32)</f>
        <v>-24670</v>
      </c>
      <c r="AB33" s="31" t="n">
        <f aca="false">SUM(AB27:AB32)</f>
        <v>-25006</v>
      </c>
      <c r="AC33" s="31" t="n">
        <f aca="false">SUM(AC27:AC32)</f>
        <v>-25342</v>
      </c>
      <c r="AD33" s="31" t="n">
        <f aca="false">SUM(AD27:AD32)</f>
        <v>-25678</v>
      </c>
      <c r="AE33" s="31" t="n">
        <f aca="false">SUM(AE27:AE32)</f>
        <v>-26014</v>
      </c>
      <c r="AF33" s="31" t="n">
        <f aca="false">SUM(AF27:AF32)</f>
        <v>-29350</v>
      </c>
      <c r="AG33" s="31" t="n">
        <f aca="false">SUM(AG27:AG32)</f>
        <v>-31630</v>
      </c>
      <c r="AH33" s="31" t="n">
        <f aca="false">SUM(AH27:AH32)</f>
        <v>-31910</v>
      </c>
      <c r="AI33" s="31" t="n">
        <f aca="false">SUM(AI27:AI32)</f>
        <v>-32190</v>
      </c>
      <c r="AJ33" s="31" t="n">
        <f aca="false">SUM(AJ27:AJ32)</f>
        <v>-32414</v>
      </c>
      <c r="AK33" s="31" t="n">
        <f aca="false">SUM(AK27:AK32)</f>
        <v>-32582</v>
      </c>
      <c r="AL33" s="31" t="n">
        <f aca="false">SUM(AL27:AL32)</f>
        <v>-35750</v>
      </c>
    </row>
    <row r="35" customFormat="false" ht="15" hidden="false" customHeight="true" outlineLevel="0" collapsed="false">
      <c r="A35" s="15" t="s">
        <v>186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customFormat="false" ht="15" hidden="false" customHeight="true" outlineLevel="0" collapsed="false">
      <c r="A36" s="18" t="s">
        <v>187</v>
      </c>
      <c r="C36" s="9" t="n">
        <f aca="false">C24+C33</f>
        <v>-19533</v>
      </c>
      <c r="D36" s="9" t="n">
        <f aca="false">D24+D33</f>
        <v>-25762</v>
      </c>
      <c r="E36" s="9" t="n">
        <f aca="false">E24+E33</f>
        <v>-25762</v>
      </c>
      <c r="F36" s="9" t="n">
        <f aca="false">F24+F33</f>
        <v>-25762</v>
      </c>
      <c r="G36" s="9" t="n">
        <f aca="false">G24+G33</f>
        <v>-25762</v>
      </c>
      <c r="H36" s="9" t="n">
        <f aca="false">H24+H33</f>
        <v>-25986</v>
      </c>
      <c r="I36" s="9" t="n">
        <f aca="false">I24+I33</f>
        <v>-24154</v>
      </c>
      <c r="J36" s="9" t="n">
        <f aca="false">J24+J33</f>
        <v>-28772</v>
      </c>
      <c r="K36" s="9" t="n">
        <f aca="false">K24+K33</f>
        <v>-32307</v>
      </c>
      <c r="L36" s="9" t="n">
        <f aca="false">L24+L33</f>
        <v>-36475</v>
      </c>
      <c r="M36" s="9" t="n">
        <f aca="false">M24+M33</f>
        <v>-34699</v>
      </c>
      <c r="N36" s="9" t="n">
        <f aca="false">N24+N33</f>
        <v>-35923</v>
      </c>
      <c r="O36" s="9" t="n">
        <f aca="false">O24+O33</f>
        <v>-50409</v>
      </c>
      <c r="P36" s="9" t="n">
        <f aca="false">P24+P33</f>
        <v>-50745</v>
      </c>
      <c r="Q36" s="9" t="n">
        <f aca="false">Q24+Q33</f>
        <v>-51081</v>
      </c>
      <c r="R36" s="9" t="n">
        <f aca="false">R24+R33</f>
        <v>-51417</v>
      </c>
      <c r="S36" s="9" t="n">
        <f aca="false">S24+S33</f>
        <v>-55560</v>
      </c>
      <c r="T36" s="9" t="n">
        <f aca="false">T24+T33</f>
        <v>-58952</v>
      </c>
      <c r="U36" s="9" t="n">
        <f aca="false">U24+U33</f>
        <v>-56344</v>
      </c>
      <c r="V36" s="9" t="n">
        <f aca="false">V24+V33</f>
        <v>-56792</v>
      </c>
      <c r="W36" s="9" t="n">
        <f aca="false">W24+W33</f>
        <v>-57240</v>
      </c>
      <c r="X36" s="9" t="n">
        <f aca="false">X24+X33</f>
        <v>-67263</v>
      </c>
      <c r="Y36" s="9" t="n">
        <f aca="false">Y24+Y33</f>
        <v>-67767</v>
      </c>
      <c r="Z36" s="9" t="n">
        <f aca="false">Z24+Z33</f>
        <v>-71383</v>
      </c>
      <c r="AA36" s="9" t="n">
        <f aca="false">AA24+AA33</f>
        <v>-77366</v>
      </c>
      <c r="AB36" s="9" t="n">
        <f aca="false">AB24+AB33</f>
        <v>-77702</v>
      </c>
      <c r="AC36" s="9" t="n">
        <f aca="false">AC24+AC33</f>
        <v>-78038</v>
      </c>
      <c r="AD36" s="9" t="n">
        <f aca="false">AD24+AD33</f>
        <v>-78374</v>
      </c>
      <c r="AE36" s="9" t="n">
        <f aca="false">AE24+AE33</f>
        <v>-78710</v>
      </c>
      <c r="AF36" s="9" t="n">
        <f aca="false">AF24+AF33</f>
        <v>-82046</v>
      </c>
      <c r="AG36" s="9" t="n">
        <f aca="false">AG24+AG33</f>
        <v>-84326</v>
      </c>
      <c r="AH36" s="9" t="n">
        <f aca="false">AH24+AH33</f>
        <v>-84606</v>
      </c>
      <c r="AI36" s="9" t="n">
        <f aca="false">AI24+AI33</f>
        <v>-84886</v>
      </c>
      <c r="AJ36" s="9" t="n">
        <f aca="false">AJ24+AJ33</f>
        <v>-85110</v>
      </c>
      <c r="AK36" s="9" t="n">
        <f aca="false">AK24+AK33</f>
        <v>-85278</v>
      </c>
      <c r="AL36" s="9" t="n">
        <f aca="false">AL24+AL33</f>
        <v>-88446</v>
      </c>
    </row>
    <row r="37" customFormat="false" ht="15" hidden="false" customHeight="true" outlineLevel="0" collapsed="false">
      <c r="A37" s="18" t="s">
        <v>188</v>
      </c>
      <c r="C37" s="9" t="n">
        <f aca="false">C9+C36</f>
        <v>-19533</v>
      </c>
      <c r="D37" s="9" t="n">
        <f aca="false">D9+D36</f>
        <v>-25762</v>
      </c>
      <c r="E37" s="9" t="n">
        <f aca="false">E9+E36</f>
        <v>-25762</v>
      </c>
      <c r="F37" s="9" t="n">
        <f aca="false">F9+F36</f>
        <v>-25762</v>
      </c>
      <c r="G37" s="9" t="n">
        <f aca="false">G9+G36</f>
        <v>-25762</v>
      </c>
      <c r="H37" s="9" t="n">
        <f aca="false">H9+H36</f>
        <v>-13354.6666666667</v>
      </c>
      <c r="I37" s="9" t="n">
        <f aca="false">I9+I36</f>
        <v>-2049.16666666666</v>
      </c>
      <c r="J37" s="9" t="n">
        <f aca="false">J9+J36</f>
        <v>2806.33333333334</v>
      </c>
      <c r="K37" s="9" t="n">
        <f aca="false">K9+K36</f>
        <v>8744.83333333334</v>
      </c>
      <c r="L37" s="9" t="n">
        <f aca="false">L9+L36</f>
        <v>14050.3333333333</v>
      </c>
      <c r="M37" s="9" t="n">
        <f aca="false">M9+M36</f>
        <v>28457.6666666667</v>
      </c>
      <c r="N37" s="9" t="n">
        <f aca="false">N9+N36</f>
        <v>39865</v>
      </c>
      <c r="O37" s="9" t="n">
        <f aca="false">O9+O36</f>
        <v>41168.1666666667</v>
      </c>
      <c r="P37" s="9" t="n">
        <f aca="false">P9+P36</f>
        <v>59779.1666666667</v>
      </c>
      <c r="Q37" s="9" t="n">
        <f aca="false">Q9+Q36</f>
        <v>78390.1666666667</v>
      </c>
      <c r="R37" s="9" t="n">
        <f aca="false">R9+R36</f>
        <v>97001.1666666667</v>
      </c>
      <c r="S37" s="9" t="n">
        <f aca="false">S9+S36</f>
        <v>114963</v>
      </c>
      <c r="T37" s="9" t="n">
        <f aca="false">T9+T36</f>
        <v>133675.833333333</v>
      </c>
      <c r="U37" s="9" t="n">
        <f aca="false">U9+U36</f>
        <v>158388.666666667</v>
      </c>
      <c r="V37" s="9" t="n">
        <f aca="false">V9+V36</f>
        <v>183203.333333333</v>
      </c>
      <c r="W37" s="9" t="n">
        <f aca="false">W9+W36</f>
        <v>208018</v>
      </c>
      <c r="X37" s="9" t="n">
        <f aca="false">X9+X36</f>
        <v>223257.666666667</v>
      </c>
      <c r="Y37" s="9" t="n">
        <f aca="false">Y9+Y36</f>
        <v>251174.166666667</v>
      </c>
      <c r="Z37" s="9" t="n">
        <f aca="false">Z9+Z36</f>
        <v>282294.333333333</v>
      </c>
      <c r="AA37" s="9" t="n">
        <f aca="false">AA9+AA36</f>
        <v>301574</v>
      </c>
      <c r="AB37" s="9" t="n">
        <f aca="false">AB9+AB36</f>
        <v>320185</v>
      </c>
      <c r="AC37" s="9" t="n">
        <f aca="false">AC9+AC36</f>
        <v>338796</v>
      </c>
      <c r="AD37" s="9" t="n">
        <f aca="false">AD9+AD36</f>
        <v>357407</v>
      </c>
      <c r="AE37" s="9" t="n">
        <f aca="false">AE9+AE36</f>
        <v>376018</v>
      </c>
      <c r="AF37" s="9" t="n">
        <f aca="false">AF9+AF36</f>
        <v>391629</v>
      </c>
      <c r="AG37" s="9" t="n">
        <f aca="false">AG9+AG36</f>
        <v>405138.166666667</v>
      </c>
      <c r="AH37" s="9" t="n">
        <f aca="false">AH9+AH36</f>
        <v>420647.333333333</v>
      </c>
      <c r="AI37" s="9" t="n">
        <f aca="false">AI9+AI36</f>
        <v>436156.5</v>
      </c>
      <c r="AJ37" s="9" t="n">
        <f aca="false">AJ9+AJ36</f>
        <v>448563.833333333</v>
      </c>
      <c r="AK37" s="9" t="n">
        <f aca="false">AK9+AK36</f>
        <v>457869.333333333</v>
      </c>
      <c r="AL37" s="9" t="n">
        <f aca="false">AL9+AL36</f>
        <v>464174.833333333</v>
      </c>
    </row>
    <row r="38" customFormat="false" ht="15" hidden="false" customHeight="true" outlineLevel="0" collapsed="false">
      <c r="A38" s="18" t="s">
        <v>189</v>
      </c>
      <c r="C38" s="32" t="n">
        <f aca="false">IF(C4=0,0,C37/C4)</f>
        <v>0</v>
      </c>
      <c r="D38" s="32" t="n">
        <f aca="false">IF(D4=0,0,D37/D4)</f>
        <v>0</v>
      </c>
      <c r="E38" s="32" t="n">
        <f aca="false">IF(E4=0,0,E37/E4)</f>
        <v>0</v>
      </c>
      <c r="F38" s="32" t="n">
        <f aca="false">IF(F4=0,0,F37/F4)</f>
        <v>0</v>
      </c>
      <c r="G38" s="32" t="n">
        <f aca="false">IF(G4=0,0,G37/G4)</f>
        <v>0</v>
      </c>
      <c r="H38" s="32" t="n">
        <f aca="false">IF(H4=0,0,H37/H4)</f>
        <v>-0.894285714285714</v>
      </c>
      <c r="I38" s="32" t="n">
        <f aca="false">IF(I4=0,0,I37/I4)</f>
        <v>-0.0784119897959183</v>
      </c>
      <c r="J38" s="32" t="n">
        <f aca="false">IF(J4=0,0,J37/J4)</f>
        <v>0.0751696428571429</v>
      </c>
      <c r="K38" s="32" t="n">
        <f aca="false">IF(K4=0,0,K37/K4)</f>
        <v>0.180182005494506</v>
      </c>
      <c r="L38" s="32" t="n">
        <f aca="false">IF(L4=0,0,L37/L4)</f>
        <v>0.235217633928571</v>
      </c>
      <c r="M38" s="32" t="n">
        <f aca="false">IF(M4=0,0,M37/M4)</f>
        <v>0.381129464285714</v>
      </c>
      <c r="N38" s="32" t="n">
        <f aca="false">IF(N4=0,0,N37/N4)</f>
        <v>0.444921875</v>
      </c>
      <c r="O38" s="32" t="n">
        <f aca="false">IF(O4=0,0,O37/O4)</f>
        <v>0.380247844827586</v>
      </c>
      <c r="P38" s="32" t="n">
        <f aca="false">IF(P4=0,0,P37/P4)</f>
        <v>0.45749362244898</v>
      </c>
      <c r="Q38" s="32" t="n">
        <f aca="false">IF(Q4=0,0,Q37/Q4)</f>
        <v>0.512130879790941</v>
      </c>
      <c r="R38" s="32" t="n">
        <f aca="false">IF(R4=0,0,R37/R4)</f>
        <v>0.552818199088146</v>
      </c>
      <c r="S38" s="32" t="n">
        <f aca="false">IF(S4=0,0,S37/S4)</f>
        <v>0.570252976190476</v>
      </c>
      <c r="T38" s="32" t="n">
        <f aca="false">IF(T4=0,0,T37/T4)</f>
        <v>0.586984045667447</v>
      </c>
      <c r="U38" s="32" t="n">
        <f aca="false">IF(U4=0,0,U37/U4)</f>
        <v>0.62390493697479</v>
      </c>
      <c r="V38" s="32" t="n">
        <f aca="false">IF(V4=0,0,V37/V4)</f>
        <v>0.645688439849624</v>
      </c>
      <c r="W38" s="32" t="n">
        <f aca="false">IF(W4=0,0,W37/W4)</f>
        <v>0.663322704081633</v>
      </c>
      <c r="X38" s="32" t="n">
        <f aca="false">IF(X4=0,0,X37/X4)</f>
        <v>0.650012616459627</v>
      </c>
      <c r="Y38" s="32" t="n">
        <f aca="false">IF(Y4=0,0,Y37/Y4)</f>
        <v>0.666126679632249</v>
      </c>
      <c r="Z38" s="32" t="n">
        <f aca="false">IF(Z4=0,0,Z37/Z4)</f>
        <v>0.675129942602041</v>
      </c>
      <c r="AA38" s="32" t="n">
        <f aca="false">IF(AA4=0,0,AA37/AA4)</f>
        <v>0.67315625</v>
      </c>
      <c r="AB38" s="32" t="n">
        <f aca="false">IF(AB4=0,0,AB37/AB4)</f>
        <v>0.680665391156463</v>
      </c>
      <c r="AC38" s="32" t="n">
        <f aca="false">IF(AC4=0,0,AC37/AC4)</f>
        <v>0.687491883116883</v>
      </c>
      <c r="AD38" s="32" t="n">
        <f aca="false">IF(AD4=0,0,AD37/AD4)</f>
        <v>0.693724767080745</v>
      </c>
      <c r="AE38" s="32" t="n">
        <f aca="false">IF(AE4=0,0,AE37/AE4)</f>
        <v>0.699438244047619</v>
      </c>
      <c r="AF38" s="32" t="n">
        <f aca="false">IF(AF4=0,0,AF37/AF4)</f>
        <v>0.6993375</v>
      </c>
      <c r="AG38" s="32" t="n">
        <f aca="false">IF(AG4=0,0,AG37/AG4)</f>
        <v>0.700123559907834</v>
      </c>
      <c r="AH38" s="32" t="n">
        <f aca="false">IF(AH4=0,0,AH37/AH4)</f>
        <v>0.704208705357143</v>
      </c>
      <c r="AI38" s="32" t="n">
        <f aca="false">IF(AI4=0,0,AI37/AI4)</f>
        <v>0.708046266233766</v>
      </c>
      <c r="AJ38" s="32" t="n">
        <f aca="false">IF(AJ4=0,0,AJ37/AJ4)</f>
        <v>0.710952821217244</v>
      </c>
      <c r="AK38" s="32" t="n">
        <f aca="false">IF(AK4=0,0,AK37/AK4)</f>
        <v>0.713044019933555</v>
      </c>
      <c r="AL38" s="32" t="n">
        <f aca="false">IF(AL4=0,0,AL37/AL4)</f>
        <v>0.710471683673469</v>
      </c>
    </row>
    <row r="39" customFormat="false" ht="15" hidden="false" customHeight="true" outlineLevel="0" collapsed="false">
      <c r="A39" s="18" t="s">
        <v>190</v>
      </c>
      <c r="C39" s="9" t="n">
        <f aca="false">C37</f>
        <v>-19533</v>
      </c>
      <c r="D39" s="9" t="n">
        <f aca="false">C39+D37</f>
        <v>-45295</v>
      </c>
      <c r="E39" s="9" t="n">
        <f aca="false">D39+E37</f>
        <v>-71057</v>
      </c>
      <c r="F39" s="9" t="n">
        <f aca="false">E39+F37</f>
        <v>-96819</v>
      </c>
      <c r="G39" s="9" t="n">
        <f aca="false">F39+G37</f>
        <v>-122581</v>
      </c>
      <c r="H39" s="9" t="n">
        <f aca="false">G39+H37</f>
        <v>-135935.666666667</v>
      </c>
      <c r="I39" s="9" t="n">
        <f aca="false">H39+I37</f>
        <v>-137984.833333333</v>
      </c>
      <c r="J39" s="9" t="n">
        <f aca="false">I39+J37</f>
        <v>-135178.5</v>
      </c>
      <c r="K39" s="9" t="n">
        <f aca="false">J39+K37</f>
        <v>-126433.666666667</v>
      </c>
      <c r="L39" s="9" t="n">
        <f aca="false">K39+L37</f>
        <v>-112383.333333333</v>
      </c>
      <c r="M39" s="9" t="n">
        <f aca="false">L39+M37</f>
        <v>-83925.6666666666</v>
      </c>
      <c r="N39" s="9" t="n">
        <f aca="false">M39+N37</f>
        <v>-44060.6666666666</v>
      </c>
      <c r="O39" s="9" t="n">
        <f aca="false">N39+O37</f>
        <v>-2892.49999999994</v>
      </c>
      <c r="P39" s="9" t="n">
        <f aca="false">O39+P37</f>
        <v>56886.6666666667</v>
      </c>
      <c r="Q39" s="9" t="n">
        <f aca="false">P39+Q37</f>
        <v>135276.833333333</v>
      </c>
      <c r="R39" s="9" t="n">
        <f aca="false">Q39+R37</f>
        <v>232278</v>
      </c>
      <c r="S39" s="9" t="n">
        <f aca="false">R39+S37</f>
        <v>347241</v>
      </c>
      <c r="T39" s="9" t="n">
        <f aca="false">S39+T37</f>
        <v>480916.833333334</v>
      </c>
      <c r="U39" s="9" t="n">
        <f aca="false">T39+U37</f>
        <v>639305.5</v>
      </c>
      <c r="V39" s="9" t="n">
        <f aca="false">U39+V37</f>
        <v>822508.833333334</v>
      </c>
      <c r="W39" s="9" t="n">
        <f aca="false">V39+W37</f>
        <v>1030526.83333333</v>
      </c>
      <c r="X39" s="9" t="n">
        <f aca="false">W39+X37</f>
        <v>1253784.5</v>
      </c>
      <c r="Y39" s="9" t="n">
        <f aca="false">X39+Y37</f>
        <v>1504958.66666667</v>
      </c>
      <c r="Z39" s="9" t="n">
        <f aca="false">Y39+Z37</f>
        <v>1787253</v>
      </c>
      <c r="AA39" s="9" t="n">
        <f aca="false">Z39+AA37</f>
        <v>2088827</v>
      </c>
      <c r="AB39" s="9" t="n">
        <f aca="false">AA39+AB37</f>
        <v>2409012</v>
      </c>
      <c r="AC39" s="9" t="n">
        <f aca="false">AB39+AC37</f>
        <v>2747808</v>
      </c>
      <c r="AD39" s="9" t="n">
        <f aca="false">AC39+AD37</f>
        <v>3105215</v>
      </c>
      <c r="AE39" s="9" t="n">
        <f aca="false">AD39+AE37</f>
        <v>3481233</v>
      </c>
      <c r="AF39" s="9" t="n">
        <f aca="false">AE39+AF37</f>
        <v>3872862</v>
      </c>
      <c r="AG39" s="9" t="n">
        <f aca="false">AF39+AG37</f>
        <v>4278000.16666667</v>
      </c>
      <c r="AH39" s="9" t="n">
        <f aca="false">AG39+AH37</f>
        <v>4698647.5</v>
      </c>
      <c r="AI39" s="9" t="n">
        <f aca="false">AH39+AI37</f>
        <v>5134804</v>
      </c>
      <c r="AJ39" s="9" t="n">
        <f aca="false">AI39+AJ37</f>
        <v>5583367.83333333</v>
      </c>
      <c r="AK39" s="9" t="n">
        <f aca="false">AJ39+AK37</f>
        <v>6041237.16666667</v>
      </c>
      <c r="AL39" s="9" t="n">
        <f aca="false">AK39+AL37</f>
        <v>6505412</v>
      </c>
    </row>
    <row r="41" customFormat="false" ht="15" hidden="false" customHeight="true" outlineLevel="0" collapsed="false">
      <c r="A41" s="15" t="s">
        <v>191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customFormat="false" ht="15" hidden="false" customHeight="true" outlineLevel="0" collapsed="false">
      <c r="A42" s="18" t="s">
        <v>192</v>
      </c>
      <c r="C42" s="33" t="n">
        <v>0</v>
      </c>
      <c r="D42" s="33" t="n">
        <v>0</v>
      </c>
      <c r="E42" s="33" t="n">
        <v>0</v>
      </c>
      <c r="F42" s="33" t="n">
        <v>0</v>
      </c>
      <c r="G42" s="33" t="n">
        <v>0</v>
      </c>
      <c r="H42" s="33" t="n">
        <v>4</v>
      </c>
      <c r="I42" s="33" t="n">
        <v>7</v>
      </c>
      <c r="J42" s="33" t="n">
        <v>10</v>
      </c>
      <c r="K42" s="33" t="n">
        <v>13</v>
      </c>
      <c r="L42" s="33" t="n">
        <v>16</v>
      </c>
      <c r="M42" s="33" t="n">
        <v>20</v>
      </c>
      <c r="N42" s="33" t="n">
        <v>24</v>
      </c>
      <c r="O42" s="33" t="n">
        <v>29</v>
      </c>
      <c r="P42" s="33" t="n">
        <v>35</v>
      </c>
      <c r="Q42" s="33" t="n">
        <v>41</v>
      </c>
      <c r="R42" s="33" t="n">
        <v>47</v>
      </c>
      <c r="S42" s="33" t="n">
        <v>54</v>
      </c>
      <c r="T42" s="33" t="n">
        <v>61</v>
      </c>
      <c r="U42" s="33" t="n">
        <v>68</v>
      </c>
      <c r="V42" s="33" t="n">
        <v>76</v>
      </c>
      <c r="W42" s="33" t="n">
        <v>84</v>
      </c>
      <c r="X42" s="33" t="n">
        <v>92</v>
      </c>
      <c r="Y42" s="33" t="n">
        <v>101</v>
      </c>
      <c r="Z42" s="33" t="n">
        <v>112</v>
      </c>
      <c r="AA42" s="33" t="n">
        <v>120</v>
      </c>
      <c r="AB42" s="33" t="n">
        <v>126</v>
      </c>
      <c r="AC42" s="33" t="n">
        <v>132</v>
      </c>
      <c r="AD42" s="33" t="n">
        <v>138</v>
      </c>
      <c r="AE42" s="33" t="n">
        <v>144</v>
      </c>
      <c r="AF42" s="33" t="n">
        <v>150</v>
      </c>
      <c r="AG42" s="33" t="n">
        <v>155</v>
      </c>
      <c r="AH42" s="33" t="n">
        <v>160</v>
      </c>
      <c r="AI42" s="33" t="n">
        <v>165</v>
      </c>
      <c r="AJ42" s="33" t="n">
        <v>169</v>
      </c>
      <c r="AK42" s="33" t="n">
        <v>172</v>
      </c>
      <c r="AL42" s="33" t="n">
        <v>175</v>
      </c>
    </row>
    <row r="43" customFormat="false" ht="15" hidden="false" customHeight="true" outlineLevel="0" collapsed="false">
      <c r="A43" s="5" t="s">
        <v>193</v>
      </c>
      <c r="C43" s="34" t="n">
        <v>0</v>
      </c>
      <c r="D43" s="34" t="n">
        <v>0</v>
      </c>
      <c r="E43" s="34" t="n">
        <v>0</v>
      </c>
      <c r="F43" s="34" t="n">
        <v>0</v>
      </c>
      <c r="G43" s="34" t="n">
        <v>0</v>
      </c>
      <c r="H43" s="34" t="n">
        <v>4</v>
      </c>
      <c r="I43" s="34" t="n">
        <v>3</v>
      </c>
      <c r="J43" s="34" t="n">
        <v>3</v>
      </c>
      <c r="K43" s="34" t="n">
        <v>3</v>
      </c>
      <c r="L43" s="34" t="n">
        <v>3</v>
      </c>
      <c r="M43" s="34" t="n">
        <v>4</v>
      </c>
      <c r="N43" s="34" t="n">
        <v>4</v>
      </c>
      <c r="O43" s="34" t="n">
        <v>5</v>
      </c>
      <c r="P43" s="34" t="n">
        <v>6</v>
      </c>
      <c r="Q43" s="34" t="n">
        <v>6</v>
      </c>
      <c r="R43" s="34" t="n">
        <v>6</v>
      </c>
      <c r="S43" s="34" t="n">
        <v>7</v>
      </c>
      <c r="T43" s="34" t="n">
        <v>7</v>
      </c>
      <c r="U43" s="34" t="n">
        <v>7</v>
      </c>
      <c r="V43" s="34" t="n">
        <v>8</v>
      </c>
      <c r="W43" s="34" t="n">
        <v>8</v>
      </c>
      <c r="X43" s="34" t="n">
        <v>8</v>
      </c>
      <c r="Y43" s="34" t="n">
        <v>9</v>
      </c>
      <c r="Z43" s="34" t="n">
        <v>11</v>
      </c>
      <c r="AA43" s="34" t="n">
        <v>8</v>
      </c>
      <c r="AB43" s="34" t="n">
        <v>6</v>
      </c>
      <c r="AC43" s="34" t="n">
        <v>6</v>
      </c>
      <c r="AD43" s="34" t="n">
        <v>6</v>
      </c>
      <c r="AE43" s="34" t="n">
        <v>6</v>
      </c>
      <c r="AF43" s="34" t="n">
        <v>6</v>
      </c>
      <c r="AG43" s="34" t="n">
        <v>5</v>
      </c>
      <c r="AH43" s="34" t="n">
        <v>5</v>
      </c>
      <c r="AI43" s="34" t="n">
        <v>5</v>
      </c>
      <c r="AJ43" s="34" t="n">
        <v>4</v>
      </c>
      <c r="AK43" s="34" t="n">
        <v>3</v>
      </c>
      <c r="AL43" s="34" t="n">
        <v>3</v>
      </c>
    </row>
    <row r="44" customFormat="false" ht="15" hidden="false" customHeight="true" outlineLevel="0" collapsed="false">
      <c r="A44" s="18" t="s">
        <v>194</v>
      </c>
      <c r="C44" s="31" t="n">
        <f aca="false">C42*Assumptions!$B$17</f>
        <v>0</v>
      </c>
      <c r="D44" s="31" t="n">
        <f aca="false">D42*Assumptions!$B$17</f>
        <v>0</v>
      </c>
      <c r="E44" s="31" t="n">
        <f aca="false">E42*Assumptions!$B$17</f>
        <v>0</v>
      </c>
      <c r="F44" s="31" t="n">
        <f aca="false">F42*Assumptions!$B$17</f>
        <v>0</v>
      </c>
      <c r="G44" s="31" t="n">
        <f aca="false">G42*Assumptions!$B$17</f>
        <v>0</v>
      </c>
      <c r="H44" s="31" t="n">
        <f aca="false">H42*Assumptions!$B$17</f>
        <v>179200</v>
      </c>
      <c r="I44" s="31" t="n">
        <f aca="false">I42*Assumptions!$B$17</f>
        <v>313600</v>
      </c>
      <c r="J44" s="31" t="n">
        <f aca="false">J42*Assumptions!$B$17</f>
        <v>448000</v>
      </c>
      <c r="K44" s="31" t="n">
        <f aca="false">K42*Assumptions!$B$17</f>
        <v>582400</v>
      </c>
      <c r="L44" s="31" t="n">
        <f aca="false">L42*Assumptions!$B$17</f>
        <v>716800</v>
      </c>
      <c r="M44" s="31" t="n">
        <f aca="false">M42*Assumptions!$B$17</f>
        <v>896000</v>
      </c>
      <c r="N44" s="31" t="n">
        <f aca="false">N42*Assumptions!$B$17</f>
        <v>1075200</v>
      </c>
      <c r="O44" s="31" t="n">
        <f aca="false">O42*Assumptions!$B$17</f>
        <v>1299200</v>
      </c>
      <c r="P44" s="31" t="n">
        <f aca="false">P42*Assumptions!$B$17</f>
        <v>1568000</v>
      </c>
      <c r="Q44" s="31" t="n">
        <f aca="false">Q42*Assumptions!$B$17</f>
        <v>1836800</v>
      </c>
      <c r="R44" s="31" t="n">
        <f aca="false">R42*Assumptions!$B$17</f>
        <v>2105600</v>
      </c>
      <c r="S44" s="31" t="n">
        <f aca="false">S42*Assumptions!$B$17</f>
        <v>2419200</v>
      </c>
      <c r="T44" s="31" t="n">
        <f aca="false">T42*Assumptions!$B$17</f>
        <v>2732800</v>
      </c>
      <c r="U44" s="31" t="n">
        <f aca="false">U42*Assumptions!$B$17</f>
        <v>3046400</v>
      </c>
      <c r="V44" s="31" t="n">
        <f aca="false">V42*Assumptions!$B$17</f>
        <v>3404800</v>
      </c>
      <c r="W44" s="31" t="n">
        <f aca="false">W42*Assumptions!$B$17</f>
        <v>3763200</v>
      </c>
      <c r="X44" s="31" t="n">
        <f aca="false">X42*Assumptions!$B$17</f>
        <v>4121600</v>
      </c>
      <c r="Y44" s="31" t="n">
        <f aca="false">Y42*Assumptions!$B$17</f>
        <v>4524800</v>
      </c>
      <c r="Z44" s="31" t="n">
        <f aca="false">Z42*Assumptions!$B$17</f>
        <v>5017600</v>
      </c>
      <c r="AA44" s="31" t="n">
        <f aca="false">AA42*Assumptions!$B$17</f>
        <v>5376000</v>
      </c>
      <c r="AB44" s="31" t="n">
        <f aca="false">AB42*Assumptions!$B$17</f>
        <v>5644800</v>
      </c>
      <c r="AC44" s="31" t="n">
        <f aca="false">AC42*Assumptions!$B$17</f>
        <v>5913600</v>
      </c>
      <c r="AD44" s="31" t="n">
        <f aca="false">AD42*Assumptions!$B$17</f>
        <v>6182400</v>
      </c>
      <c r="AE44" s="31" t="n">
        <f aca="false">AE42*Assumptions!$B$17</f>
        <v>6451200</v>
      </c>
      <c r="AF44" s="31" t="n">
        <f aca="false">AF42*Assumptions!$B$17</f>
        <v>6720000</v>
      </c>
      <c r="AG44" s="31" t="n">
        <f aca="false">AG42*Assumptions!$B$17</f>
        <v>6944000</v>
      </c>
      <c r="AH44" s="31" t="n">
        <f aca="false">AH42*Assumptions!$B$17</f>
        <v>7168000</v>
      </c>
      <c r="AI44" s="31" t="n">
        <f aca="false">AI42*Assumptions!$B$17</f>
        <v>7392000</v>
      </c>
      <c r="AJ44" s="31" t="n">
        <f aca="false">AJ42*Assumptions!$B$17</f>
        <v>7571200</v>
      </c>
      <c r="AK44" s="31" t="n">
        <f aca="false">AK42*Assumptions!$B$17</f>
        <v>7705600</v>
      </c>
      <c r="AL44" s="31" t="n">
        <f aca="false">AL42*Assumptions!$B$17</f>
        <v>7840000</v>
      </c>
    </row>
    <row r="45" customFormat="false" ht="15" hidden="false" customHeight="true" outlineLevel="0" collapsed="false">
      <c r="A45" s="5" t="s">
        <v>195</v>
      </c>
      <c r="C45" s="35" t="n">
        <f aca="false">C44/12</f>
        <v>0</v>
      </c>
      <c r="D45" s="35" t="n">
        <f aca="false">D44/12</f>
        <v>0</v>
      </c>
      <c r="E45" s="35" t="n">
        <f aca="false">E44/12</f>
        <v>0</v>
      </c>
      <c r="F45" s="35" t="n">
        <f aca="false">F44/12</f>
        <v>0</v>
      </c>
      <c r="G45" s="35" t="n">
        <f aca="false">G44/12</f>
        <v>0</v>
      </c>
      <c r="H45" s="35" t="n">
        <f aca="false">H44/12</f>
        <v>14933.3333333333</v>
      </c>
      <c r="I45" s="35" t="n">
        <f aca="false">I44/12</f>
        <v>26133.3333333333</v>
      </c>
      <c r="J45" s="35" t="n">
        <f aca="false">J44/12</f>
        <v>37333.3333333333</v>
      </c>
      <c r="K45" s="35" t="n">
        <f aca="false">K44/12</f>
        <v>48533.3333333333</v>
      </c>
      <c r="L45" s="35" t="n">
        <f aca="false">L44/12</f>
        <v>59733.3333333333</v>
      </c>
      <c r="M45" s="35" t="n">
        <f aca="false">M44/12</f>
        <v>74666.6666666667</v>
      </c>
      <c r="N45" s="35" t="n">
        <f aca="false">N44/12</f>
        <v>89600</v>
      </c>
      <c r="O45" s="35" t="n">
        <f aca="false">O44/12</f>
        <v>108266.666666667</v>
      </c>
      <c r="P45" s="35" t="n">
        <f aca="false">P44/12</f>
        <v>130666.666666667</v>
      </c>
      <c r="Q45" s="35" t="n">
        <f aca="false">Q44/12</f>
        <v>153066.666666667</v>
      </c>
      <c r="R45" s="35" t="n">
        <f aca="false">R44/12</f>
        <v>175466.666666667</v>
      </c>
      <c r="S45" s="35" t="n">
        <f aca="false">S44/12</f>
        <v>201600</v>
      </c>
      <c r="T45" s="35" t="n">
        <f aca="false">T44/12</f>
        <v>227733.333333333</v>
      </c>
      <c r="U45" s="35" t="n">
        <f aca="false">U44/12</f>
        <v>253866.666666667</v>
      </c>
      <c r="V45" s="35" t="n">
        <f aca="false">V44/12</f>
        <v>283733.333333333</v>
      </c>
      <c r="W45" s="35" t="n">
        <f aca="false">W44/12</f>
        <v>313600</v>
      </c>
      <c r="X45" s="35" t="n">
        <f aca="false">X44/12</f>
        <v>343466.666666667</v>
      </c>
      <c r="Y45" s="35" t="n">
        <f aca="false">Y44/12</f>
        <v>377066.666666667</v>
      </c>
      <c r="Z45" s="35" t="n">
        <f aca="false">Z44/12</f>
        <v>418133.333333333</v>
      </c>
      <c r="AA45" s="35" t="n">
        <f aca="false">AA44/12</f>
        <v>448000</v>
      </c>
      <c r="AB45" s="35" t="n">
        <f aca="false">AB44/12</f>
        <v>470400</v>
      </c>
      <c r="AC45" s="35" t="n">
        <f aca="false">AC44/12</f>
        <v>492800</v>
      </c>
      <c r="AD45" s="35" t="n">
        <f aca="false">AD44/12</f>
        <v>515200</v>
      </c>
      <c r="AE45" s="35" t="n">
        <f aca="false">AE44/12</f>
        <v>537600</v>
      </c>
      <c r="AF45" s="35" t="n">
        <f aca="false">AF44/12</f>
        <v>560000</v>
      </c>
      <c r="AG45" s="35" t="n">
        <f aca="false">AG44/12</f>
        <v>578666.666666667</v>
      </c>
      <c r="AH45" s="35" t="n">
        <f aca="false">AH44/12</f>
        <v>597333.333333333</v>
      </c>
      <c r="AI45" s="35" t="n">
        <f aca="false">AI44/12</f>
        <v>616000</v>
      </c>
      <c r="AJ45" s="35" t="n">
        <f aca="false">AJ44/12</f>
        <v>630933.333333333</v>
      </c>
      <c r="AK45" s="35" t="n">
        <f aca="false">AK44/12</f>
        <v>642133.333333333</v>
      </c>
      <c r="AL45" s="35" t="n">
        <f aca="false">AL44/12</f>
        <v>653333.333333333</v>
      </c>
    </row>
  </sheetData>
  <mergeCells count="6">
    <mergeCell ref="A1:AL1"/>
    <mergeCell ref="A3:AL3"/>
    <mergeCell ref="A11:AL11"/>
    <mergeCell ref="A26:AL26"/>
    <mergeCell ref="A35:AL35"/>
    <mergeCell ref="A41:AL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8"/>
  </cols>
  <sheetData>
    <row r="1" customFormat="false" ht="15.75" hidden="false" customHeight="true" outlineLevel="0" collapsed="false">
      <c r="A1" s="2" t="s">
        <v>196</v>
      </c>
      <c r="B1" s="2"/>
      <c r="C1" s="2"/>
      <c r="D1" s="2"/>
      <c r="E1" s="2"/>
    </row>
    <row r="3" customFormat="false" ht="15" hidden="false" customHeight="true" outlineLevel="0" collapsed="false">
      <c r="A3" s="17" t="s">
        <v>89</v>
      </c>
      <c r="B3" s="17" t="s">
        <v>197</v>
      </c>
      <c r="C3" s="17" t="s">
        <v>198</v>
      </c>
      <c r="D3" s="17" t="s">
        <v>199</v>
      </c>
      <c r="E3" s="17" t="s">
        <v>200</v>
      </c>
    </row>
    <row r="4" customFormat="false" ht="15" hidden="false" customHeight="true" outlineLevel="0" collapsed="false">
      <c r="A4" s="5" t="s">
        <v>159</v>
      </c>
      <c r="B4" s="20" t="n">
        <f aca="false">SUM('P&amp;L Monthly'!C4:N4)</f>
        <v>350933.333333333</v>
      </c>
      <c r="C4" s="20" t="n">
        <f aca="false">SUM('P&amp;L Monthly'!O4:Z4)</f>
        <v>2986666.66666667</v>
      </c>
      <c r="D4" s="20" t="n">
        <f aca="false">SUM('P&amp;L Monthly'!AA4:AL4)</f>
        <v>6742400</v>
      </c>
      <c r="E4" s="22" t="n">
        <f aca="false">SUM(B4:D4)</f>
        <v>10080000</v>
      </c>
    </row>
    <row r="5" customFormat="false" ht="15" hidden="false" customHeight="true" outlineLevel="0" collapsed="false">
      <c r="A5" s="5" t="s">
        <v>100</v>
      </c>
      <c r="B5" s="20" t="n">
        <f aca="false">SUM('P&amp;L Monthly'!C8:N8)</f>
        <v>-54097</v>
      </c>
      <c r="C5" s="20" t="n">
        <f aca="false">SUM('P&amp;L Monthly'!O8:Z8)</f>
        <v>-460400</v>
      </c>
      <c r="D5" s="20" t="n">
        <f aca="false">SUM('P&amp;L Monthly'!AA8:AL8)</f>
        <v>-1039353</v>
      </c>
      <c r="E5" s="22" t="n">
        <f aca="false">SUM(B5:D5)</f>
        <v>-1553850</v>
      </c>
    </row>
    <row r="6" customFormat="false" ht="15" hidden="false" customHeight="true" outlineLevel="0" collapsed="false">
      <c r="A6" s="18" t="s">
        <v>201</v>
      </c>
      <c r="B6" s="16" t="n">
        <f aca="false">SUM('P&amp;L Monthly'!C9:N9)</f>
        <v>296836.333333333</v>
      </c>
      <c r="C6" s="16" t="n">
        <f aca="false">SUM('P&amp;L Monthly'!O9:Z9)</f>
        <v>2526266.66666667</v>
      </c>
      <c r="D6" s="16" t="n">
        <f aca="false">SUM('P&amp;L Monthly'!AA9:AL9)</f>
        <v>5703047</v>
      </c>
      <c r="E6" s="9" t="n">
        <f aca="false">SUM(B6:D6)</f>
        <v>8526150</v>
      </c>
    </row>
    <row r="7" customFormat="false" ht="15" hidden="false" customHeight="true" outlineLevel="0" collapsed="false">
      <c r="A7" s="5" t="s">
        <v>202</v>
      </c>
      <c r="B7" s="20" t="n">
        <f aca="false">SUM('P&amp;L Monthly'!C24:N24)</f>
        <v>-288633</v>
      </c>
      <c r="C7" s="20" t="n">
        <f aca="false">SUM('P&amp;L Monthly'!O24:Z24)</f>
        <v>-512753</v>
      </c>
      <c r="D7" s="20" t="n">
        <f aca="false">SUM('P&amp;L Monthly'!AA24:AL24)</f>
        <v>-632352</v>
      </c>
      <c r="E7" s="22" t="n">
        <f aca="false">SUM(B7:D7)</f>
        <v>-1433738</v>
      </c>
    </row>
    <row r="8" customFormat="false" ht="15" hidden="false" customHeight="true" outlineLevel="0" collapsed="false">
      <c r="A8" s="5" t="s">
        <v>203</v>
      </c>
      <c r="B8" s="20" t="n">
        <f aca="false">SUM('P&amp;L Monthly'!C33:N33)</f>
        <v>-52264</v>
      </c>
      <c r="C8" s="20" t="n">
        <f aca="false">SUM('P&amp;L Monthly'!O33:Z33)</f>
        <v>-182200</v>
      </c>
      <c r="D8" s="20" t="n">
        <f aca="false">SUM('P&amp;L Monthly'!AA33:AL33)</f>
        <v>-352536</v>
      </c>
      <c r="E8" s="22" t="n">
        <f aca="false">SUM(B8:D8)</f>
        <v>-587000</v>
      </c>
    </row>
    <row r="9" customFormat="false" ht="15" hidden="false" customHeight="true" outlineLevel="0" collapsed="false">
      <c r="A9" s="5" t="s">
        <v>204</v>
      </c>
      <c r="B9" s="20" t="n">
        <f aca="false">SUM('P&amp;L Monthly'!C36:N36)</f>
        <v>-340897</v>
      </c>
      <c r="C9" s="20" t="n">
        <f aca="false">SUM('P&amp;L Monthly'!O36:Z36)</f>
        <v>-694953</v>
      </c>
      <c r="D9" s="20" t="n">
        <f aca="false">SUM('P&amp;L Monthly'!AA36:AL36)</f>
        <v>-984888</v>
      </c>
      <c r="E9" s="22" t="n">
        <f aca="false">SUM(B9:D9)</f>
        <v>-2020738</v>
      </c>
    </row>
    <row r="10" customFormat="false" ht="15" hidden="false" customHeight="true" outlineLevel="0" collapsed="false">
      <c r="A10" s="18" t="s">
        <v>188</v>
      </c>
      <c r="B10" s="16" t="n">
        <f aca="false">SUM('P&amp;L Monthly'!C37:N37)</f>
        <v>-44060.6666666667</v>
      </c>
      <c r="C10" s="16" t="n">
        <f aca="false">SUM('P&amp;L Monthly'!O37:Z37)</f>
        <v>1831313.66666667</v>
      </c>
      <c r="D10" s="16" t="n">
        <f aca="false">SUM('P&amp;L Monthly'!AA37:AL37)</f>
        <v>4718159</v>
      </c>
      <c r="E10" s="9" t="n">
        <f aca="false">SUM(B10:D10)</f>
        <v>6505412</v>
      </c>
    </row>
    <row r="11" customFormat="false" ht="15" hidden="false" customHeight="true" outlineLevel="0" collapsed="false">
      <c r="A11" s="18" t="s">
        <v>189</v>
      </c>
      <c r="B11" s="36" t="n">
        <f aca="false">B10/B4</f>
        <v>-0.125552811550152</v>
      </c>
      <c r="C11" s="36" t="n">
        <f aca="false">C10/C4</f>
        <v>0.613163058035714</v>
      </c>
      <c r="D11" s="36" t="n">
        <f aca="false">D10/D4</f>
        <v>0.699774412672046</v>
      </c>
      <c r="E11" s="36" t="n">
        <f aca="false">E10/E4</f>
        <v>0.645378174603175</v>
      </c>
    </row>
    <row r="13" customFormat="false" ht="15" hidden="false" customHeight="true" outlineLevel="0" collapsed="false">
      <c r="A13" s="15" t="s">
        <v>205</v>
      </c>
      <c r="B13" s="15"/>
      <c r="C13" s="15"/>
      <c r="D13" s="15"/>
      <c r="E13" s="15"/>
    </row>
    <row r="14" customFormat="false" ht="15" hidden="false" customHeight="true" outlineLevel="0" collapsed="false">
      <c r="A14" s="18" t="s">
        <v>206</v>
      </c>
      <c r="B14" s="37" t="n">
        <f aca="false">'P&amp;L Monthly'!N42</f>
        <v>24</v>
      </c>
      <c r="C14" s="37" t="n">
        <f aca="false">'P&amp;L Monthly'!Z42</f>
        <v>112</v>
      </c>
      <c r="D14" s="37" t="n">
        <f aca="false">'P&amp;L Monthly'!AL42</f>
        <v>175</v>
      </c>
    </row>
    <row r="15" customFormat="false" ht="15" hidden="false" customHeight="true" outlineLevel="0" collapsed="false">
      <c r="A15" s="18" t="s">
        <v>207</v>
      </c>
      <c r="B15" s="16" t="n">
        <f aca="false">'P&amp;L Monthly'!N44</f>
        <v>1075200</v>
      </c>
      <c r="C15" s="16" t="n">
        <f aca="false">'P&amp;L Monthly'!Z44</f>
        <v>5017600</v>
      </c>
      <c r="D15" s="16" t="n">
        <f aca="false">'P&amp;L Monthly'!AL44</f>
        <v>7840000</v>
      </c>
    </row>
    <row r="16" customFormat="false" ht="15" hidden="false" customHeight="true" outlineLevel="0" collapsed="false">
      <c r="A16" s="18" t="s">
        <v>208</v>
      </c>
      <c r="B16" s="16" t="n">
        <f aca="false">'P&amp;L Monthly'!N45</f>
        <v>89600</v>
      </c>
      <c r="C16" s="16" t="n">
        <f aca="false">'P&amp;L Monthly'!Z45</f>
        <v>418133.333333333</v>
      </c>
      <c r="D16" s="16" t="n">
        <f aca="false">'P&amp;L Monthly'!AL45</f>
        <v>653333.333333333</v>
      </c>
    </row>
    <row r="17" customFormat="false" ht="15" hidden="false" customHeight="true" outlineLevel="0" collapsed="false">
      <c r="A17" s="18" t="s">
        <v>209</v>
      </c>
      <c r="B17" s="16" t="n">
        <f aca="false">'P&amp;L Monthly'!N39</f>
        <v>-44060.6666666666</v>
      </c>
      <c r="C17" s="16" t="n">
        <f aca="false">'P&amp;L Monthly'!Z39</f>
        <v>1787253</v>
      </c>
      <c r="D17" s="16" t="n">
        <f aca="false">'P&amp;L Monthly'!AL39</f>
        <v>6505412</v>
      </c>
    </row>
    <row r="19" customFormat="false" ht="15" hidden="false" customHeight="true" outlineLevel="0" collapsed="false">
      <c r="A19" s="14" t="s">
        <v>210</v>
      </c>
      <c r="B19" s="14"/>
      <c r="C19" s="14"/>
      <c r="D19" s="14"/>
      <c r="E19" s="14"/>
    </row>
  </sheetData>
  <mergeCells count="3">
    <mergeCell ref="A1:E1"/>
    <mergeCell ref="A13:E13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6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211</v>
      </c>
      <c r="B1" s="2"/>
      <c r="C1" s="2"/>
    </row>
    <row r="3" customFormat="false" ht="15" hidden="false" customHeight="true" outlineLevel="0" collapsed="false">
      <c r="A3" s="4" t="s">
        <v>212</v>
      </c>
      <c r="B3" s="4"/>
      <c r="C3" s="4"/>
    </row>
    <row r="4" customFormat="false" ht="15" hidden="false" customHeight="true" outlineLevel="0" collapsed="false">
      <c r="A4" s="5" t="s">
        <v>213</v>
      </c>
      <c r="B4" s="38" t="s">
        <v>214</v>
      </c>
    </row>
    <row r="5" customFormat="false" ht="15" hidden="false" customHeight="true" outlineLevel="0" collapsed="false">
      <c r="A5" s="5" t="s">
        <v>215</v>
      </c>
      <c r="B5" s="38" t="s">
        <v>216</v>
      </c>
    </row>
    <row r="6" customFormat="false" ht="15" hidden="false" customHeight="true" outlineLevel="0" collapsed="false">
      <c r="A6" s="5" t="s">
        <v>217</v>
      </c>
      <c r="B6" s="38" t="s">
        <v>218</v>
      </c>
      <c r="C6" s="7" t="s">
        <v>219</v>
      </c>
    </row>
    <row r="7" customFormat="false" ht="15" hidden="false" customHeight="true" outlineLevel="0" collapsed="false">
      <c r="A7" s="5" t="s">
        <v>104</v>
      </c>
      <c r="B7" s="16" t="n">
        <f aca="false">Assumptions!B17</f>
        <v>44800</v>
      </c>
    </row>
    <row r="8" customFormat="false" ht="15" hidden="false" customHeight="true" outlineLevel="0" collapsed="false">
      <c r="A8" s="5" t="s">
        <v>106</v>
      </c>
      <c r="B8" s="23" t="n">
        <f aca="false">Assumptions!B25</f>
        <v>0.845848214285714</v>
      </c>
      <c r="C8" s="7" t="s">
        <v>220</v>
      </c>
    </row>
    <row r="10" customFormat="false" ht="15" hidden="false" customHeight="true" outlineLevel="0" collapsed="false">
      <c r="A10" s="4" t="s">
        <v>221</v>
      </c>
      <c r="B10" s="4"/>
      <c r="C10" s="4"/>
    </row>
    <row r="11" customFormat="false" ht="15" hidden="false" customHeight="true" outlineLevel="0" collapsed="false">
      <c r="A11" s="5" t="s">
        <v>222</v>
      </c>
      <c r="B11" s="16" t="n">
        <f aca="false">Assumptions!B29</f>
        <v>6000</v>
      </c>
      <c r="C11" s="7" t="s">
        <v>223</v>
      </c>
    </row>
    <row r="12" customFormat="false" ht="15" hidden="false" customHeight="true" outlineLevel="0" collapsed="false">
      <c r="A12" s="5" t="s">
        <v>112</v>
      </c>
      <c r="B12" s="24" t="n">
        <f aca="false">Assumptions!B31</f>
        <v>1.90003694516282</v>
      </c>
      <c r="C12" s="7" t="s">
        <v>224</v>
      </c>
    </row>
    <row r="13" customFormat="false" ht="15" hidden="false" customHeight="true" outlineLevel="0" collapsed="false">
      <c r="A13" s="5" t="s">
        <v>52</v>
      </c>
      <c r="B13" s="16" t="n">
        <f aca="false">Assumptions!B34</f>
        <v>210522.222222222</v>
      </c>
    </row>
    <row r="14" customFormat="false" ht="15" hidden="false" customHeight="true" outlineLevel="0" collapsed="false">
      <c r="A14" s="5" t="s">
        <v>54</v>
      </c>
      <c r="B14" s="26" t="n">
        <f aca="false">Assumptions!B35</f>
        <v>35.087037037037</v>
      </c>
      <c r="C14" s="7" t="s">
        <v>225</v>
      </c>
    </row>
    <row r="16" customFormat="false" ht="15" hidden="false" customHeight="true" outlineLevel="0" collapsed="false">
      <c r="A16" s="4" t="s">
        <v>226</v>
      </c>
      <c r="B16" s="4"/>
      <c r="C16" s="4"/>
    </row>
    <row r="17" customFormat="false" ht="15" hidden="false" customHeight="true" outlineLevel="0" collapsed="false">
      <c r="A17" s="5" t="s">
        <v>227</v>
      </c>
      <c r="B17" s="16" t="n">
        <f aca="false">'Annual Summary'!B4</f>
        <v>350933.333333333</v>
      </c>
    </row>
    <row r="18" customFormat="false" ht="15" hidden="false" customHeight="true" outlineLevel="0" collapsed="false">
      <c r="A18" s="5" t="s">
        <v>228</v>
      </c>
      <c r="B18" s="16" t="n">
        <f aca="false">'Annual Summary'!C4</f>
        <v>2986666.66666667</v>
      </c>
    </row>
    <row r="19" customFormat="false" ht="15" hidden="false" customHeight="true" outlineLevel="0" collapsed="false">
      <c r="A19" s="5" t="s">
        <v>229</v>
      </c>
      <c r="B19" s="16" t="n">
        <f aca="false">'Annual Summary'!D4</f>
        <v>6742400</v>
      </c>
    </row>
    <row r="20" customFormat="false" ht="15" hidden="false" customHeight="true" outlineLevel="0" collapsed="false">
      <c r="A20" s="5" t="s">
        <v>230</v>
      </c>
      <c r="B20" s="16" t="n">
        <f aca="false">'Annual Summary'!C15</f>
        <v>5017600</v>
      </c>
      <c r="C20" s="7" t="s">
        <v>231</v>
      </c>
    </row>
    <row r="21" customFormat="false" ht="15" hidden="false" customHeight="true" outlineLevel="0" collapsed="false">
      <c r="A21" s="5" t="s">
        <v>232</v>
      </c>
      <c r="B21" s="16" t="n">
        <f aca="false">'Annual Summary'!D15</f>
        <v>7840000</v>
      </c>
    </row>
    <row r="22" customFormat="false" ht="15" hidden="false" customHeight="true" outlineLevel="0" collapsed="false">
      <c r="A22" s="5" t="s">
        <v>233</v>
      </c>
      <c r="B22" s="39" t="n">
        <f aca="false">'Annual Summary'!D14</f>
        <v>175</v>
      </c>
      <c r="C22" s="7" t="s">
        <v>234</v>
      </c>
    </row>
    <row r="23" customFormat="false" ht="15" hidden="false" customHeight="true" outlineLevel="0" collapsed="false">
      <c r="A23" s="5" t="s">
        <v>235</v>
      </c>
      <c r="B23" s="16" t="n">
        <f aca="false">'Annual Summary'!D10</f>
        <v>4718159</v>
      </c>
    </row>
    <row r="24" customFormat="false" ht="15" hidden="false" customHeight="true" outlineLevel="0" collapsed="false">
      <c r="A24" s="5" t="s">
        <v>236</v>
      </c>
      <c r="B24" s="23" t="n">
        <f aca="false">'Annual Summary'!D11</f>
        <v>0.699774412672046</v>
      </c>
    </row>
    <row r="26" customFormat="false" ht="15" hidden="false" customHeight="true" outlineLevel="0" collapsed="false">
      <c r="A26" s="4" t="s">
        <v>237</v>
      </c>
      <c r="B26" s="4"/>
      <c r="C26" s="4"/>
    </row>
    <row r="27" customFormat="false" ht="25.5" hidden="false" customHeight="true" outlineLevel="0" collapsed="false">
      <c r="A27" s="27" t="s">
        <v>238</v>
      </c>
      <c r="B27" s="27"/>
      <c r="C27" s="27"/>
    </row>
    <row r="28" customFormat="false" ht="25.5" hidden="false" customHeight="true" outlineLevel="0" collapsed="false">
      <c r="A28" s="27" t="s">
        <v>239</v>
      </c>
      <c r="B28" s="27"/>
      <c r="C28" s="27"/>
    </row>
    <row r="29" customFormat="false" ht="25.5" hidden="false" customHeight="true" outlineLevel="0" collapsed="false">
      <c r="A29" s="27" t="s">
        <v>240</v>
      </c>
      <c r="B29" s="27"/>
      <c r="C29" s="27"/>
    </row>
    <row r="31" customFormat="false" ht="15" hidden="false" customHeight="false" outlineLevel="0" collapsed="false">
      <c r="A31" s="40" t="s">
        <v>241</v>
      </c>
      <c r="B31" s="41" t="n">
        <v>-137985</v>
      </c>
      <c r="C31" s="42" t="s">
        <v>242</v>
      </c>
    </row>
    <row r="32" customFormat="false" ht="15" hidden="false" customHeight="false" outlineLevel="0" collapsed="false">
      <c r="A32" s="40" t="s">
        <v>243</v>
      </c>
      <c r="B32" s="43" t="n">
        <v>300000</v>
      </c>
      <c r="C32" s="42" t="s">
        <v>244</v>
      </c>
    </row>
  </sheetData>
  <mergeCells count="8">
    <mergeCell ref="A1:C1"/>
    <mergeCell ref="A3:C3"/>
    <mergeCell ref="A10:C10"/>
    <mergeCell ref="A16:C16"/>
    <mergeCell ref="A26:C26"/>
    <mergeCell ref="A27:C27"/>
    <mergeCell ref="A28:C28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2026-06-08T08:24:19Z</dcterms:created>
  <dc:creator>openpyxl</dc:creator>
  <dc:description/>
  <dc:language>en-US</dc:language>
  <cp:lastModifiedBy/>
  <dcterms:modified xsi:type="dcterms:W3CDTF">2026-06-08T08:25:09Z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